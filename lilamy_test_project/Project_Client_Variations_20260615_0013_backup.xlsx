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VO4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Internal VO Register" sheetId="6" state="visible" r:id="rId6"/>
  </sheets>
  <definedNames>
    <definedName name="_xlnm.Print_Area" localSheetId="4">'Register'!$A$1:$M$38</definedName>
    <definedName name="_xlnm.Print_Area" localSheetId="5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  <numFmt numFmtId="175" formatCode="DD/MM/YYYY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175" fontId="10" fillId="0" borderId="0" applyAlignment="1" pivotButton="0" quotePrefix="0" xfId="0">
      <alignment horizontal="center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VO1 -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123</t>
        </is>
      </c>
      <c r="C14" s="152" t="n">
        <v>1</v>
      </c>
      <c r="D14" s="477" t="inlineStr">
        <is>
          <t>item</t>
        </is>
      </c>
      <c r="E14" s="439" t="n">
        <v>500</v>
      </c>
      <c r="F14" s="478">
        <f>C14*E14</f>
        <v/>
      </c>
      <c r="G14" s="437" t="n">
        <v>4</v>
      </c>
      <c r="J14" s="438" t="n"/>
    </row>
    <row r="15">
      <c r="A15" s="107" t="n">
        <v>2</v>
      </c>
      <c r="B15" s="82" t="inlineStr">
        <is>
          <t>x22</t>
        </is>
      </c>
      <c r="C15" s="152" t="n">
        <v>1</v>
      </c>
      <c r="D15" s="477" t="inlineStr">
        <is>
          <t>item</t>
        </is>
      </c>
      <c r="E15" s="477" t="n">
        <v>90000</v>
      </c>
      <c r="F15" s="478">
        <f>C15*E15</f>
        <v/>
      </c>
      <c r="G15" s="437" t="n">
        <v>0</v>
      </c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VO2 - east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132</t>
        </is>
      </c>
      <c r="C14" s="152" t="n">
        <v>9</v>
      </c>
      <c r="D14" s="477" t="inlineStr">
        <is>
          <t>item</t>
        </is>
      </c>
      <c r="E14" s="439" t="n">
        <v>155</v>
      </c>
      <c r="F14" s="478">
        <f>C14*E14</f>
        <v/>
      </c>
      <c r="G14" s="437" t="n">
        <v>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ass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VO3 -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83"/>
  <sheetViews>
    <sheetView workbookViewId="0">
      <selection activeCell="A1" sqref="A1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inlineStr">
        <is>
          <t>x1</t>
        </is>
      </c>
      <c r="C6" s="91" t="n"/>
      <c r="D6" s="92" t="n"/>
      <c r="E6" s="92" t="n"/>
      <c r="F6" s="92" t="inlineStr">
        <is>
          <t>Date:</t>
        </is>
      </c>
      <c r="G6" s="548" t="n">
        <v>46187</v>
      </c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/>
      <c r="G7" s="428" t="n"/>
    </row>
    <row r="8">
      <c r="A8" s="89" t="inlineStr">
        <is>
          <t>SITE ADDRESS:</t>
        </is>
      </c>
      <c r="B8" s="90" t="inlineStr">
        <is>
          <t>ATRA</t>
        </is>
      </c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inlineStr">
        <is>
          <t>9876</t>
        </is>
      </c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 xml:space="preserve">VO4 - 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>
        <v>1</v>
      </c>
      <c r="B14" s="329" t="inlineStr">
        <is>
          <t>BTEAR</t>
        </is>
      </c>
      <c r="C14" s="152" t="n">
        <v>1</v>
      </c>
      <c r="D14" s="477" t="inlineStr">
        <is>
          <t>item</t>
        </is>
      </c>
      <c r="E14" s="439" t="n">
        <v>45555</v>
      </c>
      <c r="F14" s="478">
        <f>C14*E14</f>
        <v/>
      </c>
      <c r="G14" s="437" t="n">
        <v>12000</v>
      </c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n"/>
      <c r="B20" s="8" t="n"/>
      <c r="C20" s="8" t="n"/>
      <c r="D20" s="8" t="n"/>
      <c r="F20" s="446" t="n"/>
      <c r="G20" s="447" t="n"/>
    </row>
    <row r="21">
      <c r="A21" s="360" t="n"/>
      <c r="F21" s="448" t="n"/>
      <c r="G21" s="449" t="n"/>
    </row>
    <row r="22" ht="15" customHeight="1">
      <c r="A22" s="360" t="n"/>
      <c r="B22" s="360" t="n"/>
      <c r="F22" s="450" t="n"/>
      <c r="G22" s="451" t="n"/>
    </row>
    <row r="23">
      <c r="A23" s="360" t="n"/>
      <c r="B23" s="360" t="n"/>
      <c r="F23" s="452" t="n"/>
      <c r="G23" s="453" t="n"/>
    </row>
    <row r="24" ht="15.75" customHeight="1" thickBot="1">
      <c r="A24" s="360" t="n"/>
      <c r="B24" s="360" t="n"/>
      <c r="F24" s="454" t="n"/>
      <c r="G24" s="455" t="n"/>
    </row>
    <row r="25" ht="15.75" customHeight="1" thickBot="1">
      <c r="A25" s="360" t="n"/>
      <c r="B25" s="360" t="n"/>
      <c r="F25" s="456" t="n"/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n"/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n"/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n"/>
      <c r="D31" s="458" t="n"/>
      <c r="F31" s="468" t="n"/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width="13" customWidth="1" style="46" min="192" max="192"/>
    <col width="9" customWidth="1" style="46" min="193" max="193"/>
    <col hidden="1" width="13" customWidth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width="13" customWidth="1" style="46" min="448" max="448"/>
    <col width="9" customWidth="1" style="46" min="449" max="449"/>
    <col hidden="1" width="13" customWidth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width="13" customWidth="1" style="46" min="704" max="704"/>
    <col width="9" customWidth="1" style="46" min="705" max="705"/>
    <col hidden="1" width="13" customWidth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width="13" customWidth="1" style="46" min="960" max="960"/>
    <col width="9" customWidth="1" style="46" min="961" max="961"/>
    <col hidden="1" width="13" customWidth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width="13" customWidth="1" style="46" min="1216" max="1216"/>
    <col width="9" customWidth="1" style="46" min="1217" max="1217"/>
    <col hidden="1" width="13" customWidth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width="13" customWidth="1" style="46" min="1472" max="1472"/>
    <col width="9" customWidth="1" style="46" min="1473" max="1473"/>
    <col hidden="1" width="13" customWidth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width="13" customWidth="1" style="46" min="1728" max="1728"/>
    <col width="9" customWidth="1" style="46" min="1729" max="1729"/>
    <col hidden="1" width="13" customWidth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width="13" customWidth="1" style="46" min="1984" max="1984"/>
    <col width="9" customWidth="1" style="46" min="1985" max="1985"/>
    <col hidden="1" width="13" customWidth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width="13" customWidth="1" style="46" min="2240" max="2240"/>
    <col width="9" customWidth="1" style="46" min="2241" max="2241"/>
    <col hidden="1" width="13" customWidth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width="13" customWidth="1" style="46" min="2496" max="2496"/>
    <col width="9" customWidth="1" style="46" min="2497" max="2497"/>
    <col hidden="1" width="13" customWidth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width="13" customWidth="1" style="46" min="2752" max="2752"/>
    <col width="9" customWidth="1" style="46" min="2753" max="2753"/>
    <col hidden="1" width="13" customWidth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width="13" customWidth="1" style="46" min="3008" max="3008"/>
    <col width="9" customWidth="1" style="46" min="3009" max="3009"/>
    <col hidden="1" width="13" customWidth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width="13" customWidth="1" style="46" min="3264" max="3264"/>
    <col width="9" customWidth="1" style="46" min="3265" max="3265"/>
    <col hidden="1" width="13" customWidth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width="13" customWidth="1" style="46" min="3520" max="3520"/>
    <col width="9" customWidth="1" style="46" min="3521" max="3521"/>
    <col hidden="1" width="13" customWidth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width="13" customWidth="1" style="46" min="3776" max="3776"/>
    <col width="9" customWidth="1" style="46" min="3777" max="3777"/>
    <col hidden="1" width="13" customWidth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width="13" customWidth="1" style="46" min="4032" max="4032"/>
    <col width="9" customWidth="1" style="46" min="4033" max="4033"/>
    <col hidden="1" width="13" customWidth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width="13" customWidth="1" style="46" min="4288" max="4288"/>
    <col width="9" customWidth="1" style="46" min="4289" max="4289"/>
    <col hidden="1" width="13" customWidth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width="13" customWidth="1" style="46" min="4544" max="4544"/>
    <col width="9" customWidth="1" style="46" min="4545" max="4545"/>
    <col hidden="1" width="13" customWidth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width="13" customWidth="1" style="46" min="4800" max="4800"/>
    <col width="9" customWidth="1" style="46" min="4801" max="4801"/>
    <col hidden="1" width="13" customWidth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width="13" customWidth="1" style="46" min="5056" max="5056"/>
    <col width="9" customWidth="1" style="46" min="5057" max="5057"/>
    <col hidden="1" width="13" customWidth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width="13" customWidth="1" style="46" min="5312" max="5312"/>
    <col width="9" customWidth="1" style="46" min="5313" max="5313"/>
    <col hidden="1" width="13" customWidth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width="13" customWidth="1" style="46" min="5568" max="5568"/>
    <col width="9" customWidth="1" style="46" min="5569" max="5569"/>
    <col hidden="1" width="13" customWidth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width="13" customWidth="1" style="46" min="5824" max="5824"/>
    <col width="9" customWidth="1" style="46" min="5825" max="5825"/>
    <col hidden="1" width="13" customWidth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width="13" customWidth="1" style="46" min="6080" max="6080"/>
    <col width="9" customWidth="1" style="46" min="6081" max="6081"/>
    <col hidden="1" width="13" customWidth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width="13" customWidth="1" style="46" min="6336" max="6336"/>
    <col width="9" customWidth="1" style="46" min="6337" max="6337"/>
    <col hidden="1" width="13" customWidth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width="13" customWidth="1" style="46" min="6592" max="6592"/>
    <col width="9" customWidth="1" style="46" min="6593" max="6593"/>
    <col hidden="1" width="13" customWidth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width="13" customWidth="1" style="46" min="6848" max="6848"/>
    <col width="9" customWidth="1" style="46" min="6849" max="6849"/>
    <col hidden="1" width="13" customWidth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width="13" customWidth="1" style="46" min="7104" max="7104"/>
    <col width="9" customWidth="1" style="46" min="7105" max="7105"/>
    <col hidden="1" width="13" customWidth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width="13" customWidth="1" style="46" min="7360" max="7360"/>
    <col width="9" customWidth="1" style="46" min="7361" max="7361"/>
    <col hidden="1" width="13" customWidth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width="13" customWidth="1" style="46" min="7616" max="7616"/>
    <col width="9" customWidth="1" style="46" min="7617" max="7617"/>
    <col hidden="1" width="13" customWidth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width="13" customWidth="1" style="46" min="7872" max="7872"/>
    <col width="9" customWidth="1" style="46" min="7873" max="7873"/>
    <col hidden="1" width="13" customWidth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width="13" customWidth="1" style="46" min="8128" max="8128"/>
    <col width="9" customWidth="1" style="46" min="8129" max="8129"/>
    <col hidden="1" width="13" customWidth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width="13" customWidth="1" style="46" min="8384" max="8384"/>
    <col width="9" customWidth="1" style="46" min="8385" max="8385"/>
    <col hidden="1" width="13" customWidth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width="13" customWidth="1" style="46" min="8640" max="8640"/>
    <col width="9" customWidth="1" style="46" min="8641" max="8641"/>
    <col hidden="1" width="13" customWidth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width="13" customWidth="1" style="46" min="8896" max="8896"/>
    <col width="9" customWidth="1" style="46" min="8897" max="8897"/>
    <col hidden="1" width="13" customWidth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width="13" customWidth="1" style="46" min="9152" max="9152"/>
    <col width="9" customWidth="1" style="46" min="9153" max="9153"/>
    <col hidden="1" width="13" customWidth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width="13" customWidth="1" style="46" min="9408" max="9408"/>
    <col width="9" customWidth="1" style="46" min="9409" max="9409"/>
    <col hidden="1" width="13" customWidth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width="13" customWidth="1" style="46" min="9664" max="9664"/>
    <col width="9" customWidth="1" style="46" min="9665" max="9665"/>
    <col hidden="1" width="13" customWidth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width="13" customWidth="1" style="46" min="9920" max="9920"/>
    <col width="9" customWidth="1" style="46" min="9921" max="9921"/>
    <col hidden="1" width="13" customWidth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width="13" customWidth="1" style="46" min="10176" max="10176"/>
    <col width="9" customWidth="1" style="46" min="10177" max="10177"/>
    <col hidden="1" width="13" customWidth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width="13" customWidth="1" style="46" min="10432" max="10432"/>
    <col width="9" customWidth="1" style="46" min="10433" max="10433"/>
    <col hidden="1" width="13" customWidth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width="13" customWidth="1" style="46" min="10688" max="10688"/>
    <col width="9" customWidth="1" style="46" min="10689" max="10689"/>
    <col hidden="1" width="13" customWidth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width="13" customWidth="1" style="46" min="10944" max="10944"/>
    <col width="9" customWidth="1" style="46" min="10945" max="10945"/>
    <col hidden="1" width="13" customWidth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width="13" customWidth="1" style="46" min="11200" max="11200"/>
    <col width="9" customWidth="1" style="46" min="11201" max="11201"/>
    <col hidden="1" width="13" customWidth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width="13" customWidth="1" style="46" min="11456" max="11456"/>
    <col width="9" customWidth="1" style="46" min="11457" max="11457"/>
    <col hidden="1" width="13" customWidth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width="13" customWidth="1" style="46" min="11712" max="11712"/>
    <col width="9" customWidth="1" style="46" min="11713" max="11713"/>
    <col hidden="1" width="13" customWidth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width="13" customWidth="1" style="46" min="11968" max="11968"/>
    <col width="9" customWidth="1" style="46" min="11969" max="11969"/>
    <col hidden="1" width="13" customWidth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width="13" customWidth="1" style="46" min="12224" max="12224"/>
    <col width="9" customWidth="1" style="46" min="12225" max="12225"/>
    <col hidden="1" width="13" customWidth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width="13" customWidth="1" style="46" min="12480" max="12480"/>
    <col width="9" customWidth="1" style="46" min="12481" max="12481"/>
    <col hidden="1" width="13" customWidth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width="13" customWidth="1" style="46" min="12736" max="12736"/>
    <col width="9" customWidth="1" style="46" min="12737" max="12737"/>
    <col hidden="1" width="13" customWidth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width="13" customWidth="1" style="46" min="12992" max="12992"/>
    <col width="9" customWidth="1" style="46" min="12993" max="12993"/>
    <col hidden="1" width="13" customWidth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width="13" customWidth="1" style="46" min="13248" max="13248"/>
    <col width="9" customWidth="1" style="46" min="13249" max="13249"/>
    <col hidden="1" width="13" customWidth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width="13" customWidth="1" style="46" min="13504" max="13504"/>
    <col width="9" customWidth="1" style="46" min="13505" max="13505"/>
    <col hidden="1" width="13" customWidth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width="13" customWidth="1" style="46" min="13760" max="13760"/>
    <col width="9" customWidth="1" style="46" min="13761" max="13761"/>
    <col hidden="1" width="13" customWidth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width="13" customWidth="1" style="46" min="14016" max="14016"/>
    <col width="9" customWidth="1" style="46" min="14017" max="14017"/>
    <col hidden="1" width="13" customWidth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width="13" customWidth="1" style="46" min="14272" max="14272"/>
    <col width="9" customWidth="1" style="46" min="14273" max="14273"/>
    <col hidden="1" width="13" customWidth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width="13" customWidth="1" style="46" min="14528" max="14528"/>
    <col width="9" customWidth="1" style="46" min="14529" max="14529"/>
    <col hidden="1" width="13" customWidth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width="13" customWidth="1" style="46" min="14784" max="14784"/>
    <col width="9" customWidth="1" style="46" min="14785" max="14785"/>
    <col hidden="1" width="13" customWidth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width="13" customWidth="1" style="46" min="15040" max="15040"/>
    <col width="9" customWidth="1" style="46" min="15041" max="15041"/>
    <col hidden="1" width="13" customWidth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width="13" customWidth="1" style="46" min="15296" max="15296"/>
    <col width="9" customWidth="1" style="46" min="15297" max="15297"/>
    <col hidden="1" width="13" customWidth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width="13" customWidth="1" style="46" min="15552" max="15552"/>
    <col width="9" customWidth="1" style="46" min="15553" max="15553"/>
    <col hidden="1" width="13" customWidth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width="13" customWidth="1" style="46" min="15808" max="15808"/>
    <col width="9" customWidth="1" style="46" min="15809" max="15809"/>
    <col hidden="1" width="13" customWidth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width="13" customWidth="1" style="46" min="16064" max="16064"/>
    <col width="9" customWidth="1" style="46" min="16065" max="16065"/>
    <col hidden="1" width="13" customWidth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inlineStr">
        <is>
          <t>9876</t>
        </is>
      </c>
      <c r="C3" s="317" t="n"/>
      <c r="D3" s="318" t="n"/>
      <c r="E3" s="319" t="inlineStr">
        <is>
          <t>BASE CONTRACT AMOUNT</t>
        </is>
      </c>
      <c r="F3" s="485" t="n"/>
      <c r="G3" s="486" t="n">
        <v>9000000</v>
      </c>
      <c r="H3" s="487" t="n"/>
      <c r="I3" s="487" t="n"/>
    </row>
    <row r="4" ht="23.1" customHeight="1">
      <c r="A4" s="325" t="inlineStr">
        <is>
          <t>Project:</t>
        </is>
      </c>
      <c r="B4" s="327" t="inlineStr"/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/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 t="inlineStr">
        <is>
          <t xml:space="preserve">VO1 - </t>
        </is>
      </c>
      <c r="C13" s="503" t="inlineStr">
        <is>
          <t>2026-06-14</t>
        </is>
      </c>
      <c r="D13" s="504" t="n">
        <v>109500.16</v>
      </c>
      <c r="E13" s="505" t="n"/>
      <c r="F13" s="506" t="n"/>
      <c r="G13" s="507" t="n"/>
      <c r="H13" s="508" t="n"/>
      <c r="I13" s="508" t="n"/>
      <c r="J13" s="81" t="n"/>
      <c r="K13" s="77" t="inlineStr">
        <is>
          <t>approved_for_signing</t>
        </is>
      </c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 t="inlineStr">
        <is>
          <t xml:space="preserve">VO2 - east </t>
        </is>
      </c>
      <c r="C14" s="503" t="n"/>
      <c r="D14" s="504" t="n">
        <v>1687.95</v>
      </c>
      <c r="E14" s="505" t="n"/>
      <c r="F14" s="506" t="n"/>
      <c r="G14" s="507" t="n"/>
      <c r="H14" s="509" t="n"/>
      <c r="I14" s="509" t="n"/>
      <c r="J14" s="76" t="n"/>
      <c r="K14" s="77" t="inlineStr">
        <is>
          <t>approved_for_signing</t>
        </is>
      </c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 t="inlineStr">
        <is>
          <t xml:space="preserve">VO3 - </t>
        </is>
      </c>
      <c r="C15" s="503" t="n"/>
      <c r="D15" s="504" t="n">
        <v>0</v>
      </c>
      <c r="E15" s="505" t="n">
        <v>0</v>
      </c>
      <c r="F15" s="506" t="n"/>
      <c r="G15" s="507" t="n">
        <v>0</v>
      </c>
      <c r="H15" s="509" t="n"/>
      <c r="I15" s="509" t="n"/>
      <c r="J15" s="76" t="n"/>
      <c r="K15" s="77" t="inlineStr">
        <is>
          <t>Submitted</t>
        </is>
      </c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 t="inlineStr">
        <is>
          <t xml:space="preserve">VO4 - </t>
        </is>
      </c>
      <c r="C16" s="503" t="inlineStr">
        <is>
          <t>2026-06-14</t>
        </is>
      </c>
      <c r="D16" s="504" t="n">
        <v>40601.55</v>
      </c>
      <c r="E16" s="505" t="n">
        <v>40601.55</v>
      </c>
      <c r="F16" s="506" t="n"/>
      <c r="G16" s="507" t="n">
        <v>0</v>
      </c>
      <c r="H16" s="509" t="n"/>
      <c r="I16" s="509" t="n"/>
      <c r="J16" s="76" t="n"/>
      <c r="K16" s="77" t="inlineStr">
        <is>
          <t>Submitted</t>
        </is>
      </c>
      <c r="L16" s="146" t="inlineStr">
        <is>
          <t>Head Contract VO</t>
        </is>
      </c>
      <c r="M16" s="66" t="n"/>
      <c r="N16" s="59" t="n"/>
    </row>
    <row r="17" ht="28.9" customHeight="1">
      <c r="A17" s="60" t="n"/>
      <c r="B17" s="334" t="n"/>
      <c r="C17" s="503" t="n"/>
      <c r="D17" s="504" t="n"/>
      <c r="E17" s="505" t="n"/>
      <c r="F17" s="506" t="n"/>
      <c r="G17" s="507" t="n"/>
      <c r="H17" s="509" t="n"/>
      <c r="I17" s="509" t="n"/>
      <c r="J17" s="76" t="n"/>
      <c r="K17" s="77" t="n"/>
      <c r="L17" s="146" t="n"/>
      <c r="M17" s="66" t="n"/>
      <c r="N17" s="59" t="n"/>
    </row>
    <row r="18" ht="28.9" customHeight="1">
      <c r="A18" s="60" t="n"/>
      <c r="B18" s="334" t="n"/>
      <c r="C18" s="510" t="n"/>
      <c r="D18" s="504" t="n"/>
      <c r="E18" s="505" t="n"/>
      <c r="F18" s="506" t="n"/>
      <c r="G18" s="507" t="n"/>
      <c r="H18" s="509" t="n"/>
      <c r="I18" s="509" t="n"/>
      <c r="J18" s="76" t="n"/>
      <c r="K18" s="77" t="n"/>
      <c r="L18" s="146" t="n"/>
      <c r="M18" s="66" t="n"/>
      <c r="N18" s="59" t="n"/>
    </row>
    <row r="19" ht="28.9" customHeight="1">
      <c r="A19" s="60" t="n"/>
      <c r="B19" s="334" t="n"/>
      <c r="C19" s="510" t="n"/>
      <c r="D19" s="504" t="n"/>
      <c r="E19" s="505" t="n"/>
      <c r="F19" s="506" t="n"/>
      <c r="G19" s="507" t="n"/>
      <c r="H19" s="509" t="n"/>
      <c r="I19" s="509" t="n"/>
      <c r="J19" s="76" t="n"/>
      <c r="K19" s="77" t="n"/>
      <c r="L19" s="146" t="n"/>
      <c r="M19" s="66" t="n"/>
      <c r="N19" s="59" t="n"/>
    </row>
    <row r="20" ht="28.9" customHeight="1">
      <c r="A20" s="60" t="n"/>
      <c r="B20" s="334" t="n"/>
      <c r="C20" s="510" t="n"/>
      <c r="D20" s="504" t="n"/>
      <c r="E20" s="505" t="n"/>
      <c r="F20" s="506" t="n"/>
      <c r="G20" s="507" t="n"/>
      <c r="H20" s="509" t="n"/>
      <c r="I20" s="509" t="n"/>
      <c r="J20" s="76" t="n"/>
      <c r="K20" s="77" t="n"/>
      <c r="L20" s="146" t="n"/>
      <c r="M20" s="66" t="n"/>
      <c r="N20" s="59" t="n"/>
    </row>
    <row r="21" ht="28.9" customHeight="1">
      <c r="A21" s="60" t="n"/>
      <c r="B21" s="334" t="n"/>
      <c r="C21" s="510" t="n"/>
      <c r="D21" s="504" t="n"/>
      <c r="E21" s="505" t="n"/>
      <c r="F21" s="506" t="n"/>
      <c r="G21" s="507" t="n"/>
      <c r="H21" s="509" t="n"/>
      <c r="I21" s="509" t="n"/>
      <c r="J21" s="76" t="n"/>
      <c r="K21" s="77" t="n"/>
      <c r="L21" s="146" t="n"/>
      <c r="M21" s="66" t="n"/>
      <c r="N21" s="59" t="n"/>
    </row>
    <row r="22" ht="28.9" customHeight="1">
      <c r="A22" s="60" t="n"/>
      <c r="B22" s="334" t="n"/>
      <c r="C22" s="510" t="n"/>
      <c r="D22" s="504" t="n"/>
      <c r="E22" s="505" t="n"/>
      <c r="F22" s="506" t="n"/>
      <c r="G22" s="507" t="n"/>
      <c r="H22" s="509" t="n"/>
      <c r="I22" s="509" t="n"/>
      <c r="J22" s="76" t="n"/>
      <c r="K22" s="77" t="n"/>
      <c r="L22" s="146" t="n"/>
      <c r="M22" s="66" t="n"/>
      <c r="N22" s="59" t="n"/>
    </row>
    <row r="23" ht="28.9" customHeight="1">
      <c r="A23" s="60" t="n"/>
      <c r="B23" s="334" t="n"/>
      <c r="C23" s="510" t="n"/>
      <c r="D23" s="504" t="n"/>
      <c r="E23" s="505" t="n"/>
      <c r="F23" s="506" t="n"/>
      <c r="G23" s="507" t="n"/>
      <c r="H23" s="509" t="n"/>
      <c r="I23" s="509" t="n"/>
      <c r="J23" s="76" t="n"/>
      <c r="K23" s="77" t="n"/>
      <c r="L23" s="146" t="n"/>
      <c r="M23" s="66" t="n"/>
      <c r="N23" s="511" t="n"/>
    </row>
    <row r="24" ht="28.9" customHeight="1">
      <c r="A24" s="60" t="n"/>
      <c r="B24" s="333" t="n"/>
      <c r="C24" s="510" t="n"/>
      <c r="D24" s="512" t="n"/>
      <c r="E24" s="505" t="n"/>
      <c r="F24" s="506" t="n"/>
      <c r="G24" s="507" t="n"/>
      <c r="H24" s="509" t="n"/>
      <c r="I24" s="509" t="n"/>
      <c r="J24" s="76" t="n"/>
      <c r="K24" s="77" t="n"/>
      <c r="L24" s="146" t="n"/>
      <c r="M24" s="66" t="n"/>
      <c r="N24" s="511" t="n"/>
    </row>
    <row r="25" ht="28.9" customHeight="1">
      <c r="A25" s="60" t="n"/>
      <c r="B25" s="333" t="n"/>
      <c r="C25" s="510" t="n"/>
      <c r="D25" s="512" t="n"/>
      <c r="E25" s="505" t="n"/>
      <c r="F25" s="506" t="n"/>
      <c r="G25" s="507" t="n"/>
      <c r="H25" s="509" t="n"/>
      <c r="I25" s="509" t="n"/>
      <c r="J25" s="76" t="n"/>
      <c r="K25" s="77" t="n"/>
      <c r="L25" s="146" t="n"/>
      <c r="M25" s="66" t="n"/>
      <c r="N25" s="511" t="n"/>
    </row>
    <row r="26" ht="28.9" customHeight="1">
      <c r="A26" s="60" t="n"/>
      <c r="B26" s="333" t="n"/>
      <c r="C26" s="510" t="n"/>
      <c r="D26" s="512" t="n"/>
      <c r="E26" s="505" t="n"/>
      <c r="F26" s="506" t="n"/>
      <c r="G26" s="507" t="n"/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/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/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/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/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/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/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/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/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/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 t="n">
        <v>151789.66</v>
      </c>
      <c r="E38" s="519" t="n">
        <v>40601.55</v>
      </c>
      <c r="F38" s="520" t="n">
        <v>0</v>
      </c>
      <c r="G38" s="521" t="n">
        <v>0</v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width="13" customWidth="1" style="46" min="175" max="175"/>
    <col width="9" customWidth="1" style="46" min="176" max="176"/>
    <col hidden="1" width="13" customWidth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width="13" customWidth="1" style="46" min="431" max="431"/>
    <col width="9" customWidth="1" style="46" min="432" max="432"/>
    <col hidden="1" width="13" customWidth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width="13" customWidth="1" style="46" min="687" max="687"/>
    <col width="9" customWidth="1" style="46" min="688" max="688"/>
    <col hidden="1" width="13" customWidth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width="13" customWidth="1" style="46" min="943" max="943"/>
    <col width="9" customWidth="1" style="46" min="944" max="944"/>
    <col hidden="1" width="13" customWidth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width="13" customWidth="1" style="46" min="1199" max="1199"/>
    <col width="9" customWidth="1" style="46" min="1200" max="1200"/>
    <col hidden="1" width="13" customWidth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width="13" customWidth="1" style="46" min="1455" max="1455"/>
    <col width="9" customWidth="1" style="46" min="1456" max="1456"/>
    <col hidden="1" width="13" customWidth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width="13" customWidth="1" style="46" min="1711" max="1711"/>
    <col width="9" customWidth="1" style="46" min="1712" max="1712"/>
    <col hidden="1" width="13" customWidth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width="13" customWidth="1" style="46" min="1967" max="1967"/>
    <col width="9" customWidth="1" style="46" min="1968" max="1968"/>
    <col hidden="1" width="13" customWidth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width="13" customWidth="1" style="46" min="2223" max="2223"/>
    <col width="9" customWidth="1" style="46" min="2224" max="2224"/>
    <col hidden="1" width="13" customWidth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width="13" customWidth="1" style="46" min="2479" max="2479"/>
    <col width="9" customWidth="1" style="46" min="2480" max="2480"/>
    <col hidden="1" width="13" customWidth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width="13" customWidth="1" style="46" min="2735" max="2735"/>
    <col width="9" customWidth="1" style="46" min="2736" max="2736"/>
    <col hidden="1" width="13" customWidth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width="13" customWidth="1" style="46" min="2991" max="2991"/>
    <col width="9" customWidth="1" style="46" min="2992" max="2992"/>
    <col hidden="1" width="13" customWidth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width="13" customWidth="1" style="46" min="3247" max="3247"/>
    <col width="9" customWidth="1" style="46" min="3248" max="3248"/>
    <col hidden="1" width="13" customWidth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width="13" customWidth="1" style="46" min="3503" max="3503"/>
    <col width="9" customWidth="1" style="46" min="3504" max="3504"/>
    <col hidden="1" width="13" customWidth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width="13" customWidth="1" style="46" min="3759" max="3759"/>
    <col width="9" customWidth="1" style="46" min="3760" max="3760"/>
    <col hidden="1" width="13" customWidth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width="13" customWidth="1" style="46" min="4015" max="4015"/>
    <col width="9" customWidth="1" style="46" min="4016" max="4016"/>
    <col hidden="1" width="13" customWidth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width="13" customWidth="1" style="46" min="4271" max="4271"/>
    <col width="9" customWidth="1" style="46" min="4272" max="4272"/>
    <col hidden="1" width="13" customWidth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width="13" customWidth="1" style="46" min="4527" max="4527"/>
    <col width="9" customWidth="1" style="46" min="4528" max="4528"/>
    <col hidden="1" width="13" customWidth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width="13" customWidth="1" style="46" min="4783" max="4783"/>
    <col width="9" customWidth="1" style="46" min="4784" max="4784"/>
    <col hidden="1" width="13" customWidth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width="13" customWidth="1" style="46" min="5039" max="5039"/>
    <col width="9" customWidth="1" style="46" min="5040" max="5040"/>
    <col hidden="1" width="13" customWidth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width="13" customWidth="1" style="46" min="5295" max="5295"/>
    <col width="9" customWidth="1" style="46" min="5296" max="5296"/>
    <col hidden="1" width="13" customWidth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width="13" customWidth="1" style="46" min="5551" max="5551"/>
    <col width="9" customWidth="1" style="46" min="5552" max="5552"/>
    <col hidden="1" width="13" customWidth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width="13" customWidth="1" style="46" min="5807" max="5807"/>
    <col width="9" customWidth="1" style="46" min="5808" max="5808"/>
    <col hidden="1" width="13" customWidth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width="13" customWidth="1" style="46" min="6063" max="6063"/>
    <col width="9" customWidth="1" style="46" min="6064" max="6064"/>
    <col hidden="1" width="13" customWidth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width="13" customWidth="1" style="46" min="6319" max="6319"/>
    <col width="9" customWidth="1" style="46" min="6320" max="6320"/>
    <col hidden="1" width="13" customWidth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width="13" customWidth="1" style="46" min="6575" max="6575"/>
    <col width="9" customWidth="1" style="46" min="6576" max="6576"/>
    <col hidden="1" width="13" customWidth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width="13" customWidth="1" style="46" min="6831" max="6831"/>
    <col width="9" customWidth="1" style="46" min="6832" max="6832"/>
    <col hidden="1" width="13" customWidth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width="13" customWidth="1" style="46" min="7087" max="7087"/>
    <col width="9" customWidth="1" style="46" min="7088" max="7088"/>
    <col hidden="1" width="13" customWidth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width="13" customWidth="1" style="46" min="7343" max="7343"/>
    <col width="9" customWidth="1" style="46" min="7344" max="7344"/>
    <col hidden="1" width="13" customWidth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width="13" customWidth="1" style="46" min="7599" max="7599"/>
    <col width="9" customWidth="1" style="46" min="7600" max="7600"/>
    <col hidden="1" width="13" customWidth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width="13" customWidth="1" style="46" min="7855" max="7855"/>
    <col width="9" customWidth="1" style="46" min="7856" max="7856"/>
    <col hidden="1" width="13" customWidth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width="13" customWidth="1" style="46" min="8111" max="8111"/>
    <col width="9" customWidth="1" style="46" min="8112" max="8112"/>
    <col hidden="1" width="13" customWidth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width="13" customWidth="1" style="46" min="8367" max="8367"/>
    <col width="9" customWidth="1" style="46" min="8368" max="8368"/>
    <col hidden="1" width="13" customWidth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width="13" customWidth="1" style="46" min="8623" max="8623"/>
    <col width="9" customWidth="1" style="46" min="8624" max="8624"/>
    <col hidden="1" width="13" customWidth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width="13" customWidth="1" style="46" min="8879" max="8879"/>
    <col width="9" customWidth="1" style="46" min="8880" max="8880"/>
    <col hidden="1" width="13" customWidth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width="13" customWidth="1" style="46" min="9135" max="9135"/>
    <col width="9" customWidth="1" style="46" min="9136" max="9136"/>
    <col hidden="1" width="13" customWidth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width="13" customWidth="1" style="46" min="9391" max="9391"/>
    <col width="9" customWidth="1" style="46" min="9392" max="9392"/>
    <col hidden="1" width="13" customWidth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width="13" customWidth="1" style="46" min="9647" max="9647"/>
    <col width="9" customWidth="1" style="46" min="9648" max="9648"/>
    <col hidden="1" width="13" customWidth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width="13" customWidth="1" style="46" min="9903" max="9903"/>
    <col width="9" customWidth="1" style="46" min="9904" max="9904"/>
    <col hidden="1" width="13" customWidth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width="13" customWidth="1" style="46" min="10159" max="10159"/>
    <col width="9" customWidth="1" style="46" min="10160" max="10160"/>
    <col hidden="1" width="13" customWidth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width="13" customWidth="1" style="46" min="10415" max="10415"/>
    <col width="9" customWidth="1" style="46" min="10416" max="10416"/>
    <col hidden="1" width="13" customWidth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width="13" customWidth="1" style="46" min="10671" max="10671"/>
    <col width="9" customWidth="1" style="46" min="10672" max="10672"/>
    <col hidden="1" width="13" customWidth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width="13" customWidth="1" style="46" min="10927" max="10927"/>
    <col width="9" customWidth="1" style="46" min="10928" max="10928"/>
    <col hidden="1" width="13" customWidth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width="13" customWidth="1" style="46" min="11183" max="11183"/>
    <col width="9" customWidth="1" style="46" min="11184" max="11184"/>
    <col hidden="1" width="13" customWidth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width="13" customWidth="1" style="46" min="11439" max="11439"/>
    <col width="9" customWidth="1" style="46" min="11440" max="11440"/>
    <col hidden="1" width="13" customWidth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width="13" customWidth="1" style="46" min="11695" max="11695"/>
    <col width="9" customWidth="1" style="46" min="11696" max="11696"/>
    <col hidden="1" width="13" customWidth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width="13" customWidth="1" style="46" min="11951" max="11951"/>
    <col width="9" customWidth="1" style="46" min="11952" max="11952"/>
    <col hidden="1" width="13" customWidth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width="13" customWidth="1" style="46" min="12207" max="12207"/>
    <col width="9" customWidth="1" style="46" min="12208" max="12208"/>
    <col hidden="1" width="13" customWidth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width="13" customWidth="1" style="46" min="12463" max="12463"/>
    <col width="9" customWidth="1" style="46" min="12464" max="12464"/>
    <col hidden="1" width="13" customWidth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width="13" customWidth="1" style="46" min="12719" max="12719"/>
    <col width="9" customWidth="1" style="46" min="12720" max="12720"/>
    <col hidden="1" width="13" customWidth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width="13" customWidth="1" style="46" min="12975" max="12975"/>
    <col width="9" customWidth="1" style="46" min="12976" max="12976"/>
    <col hidden="1" width="13" customWidth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width="13" customWidth="1" style="46" min="13231" max="13231"/>
    <col width="9" customWidth="1" style="46" min="13232" max="13232"/>
    <col hidden="1" width="13" customWidth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width="13" customWidth="1" style="46" min="13487" max="13487"/>
    <col width="9" customWidth="1" style="46" min="13488" max="13488"/>
    <col hidden="1" width="13" customWidth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width="13" customWidth="1" style="46" min="13743" max="13743"/>
    <col width="9" customWidth="1" style="46" min="13744" max="13744"/>
    <col hidden="1" width="13" customWidth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width="13" customWidth="1" style="46" min="13999" max="13999"/>
    <col width="9" customWidth="1" style="46" min="14000" max="14000"/>
    <col hidden="1" width="13" customWidth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width="13" customWidth="1" style="46" min="14255" max="14255"/>
    <col width="9" customWidth="1" style="46" min="14256" max="14256"/>
    <col hidden="1" width="13" customWidth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width="13" customWidth="1" style="46" min="14511" max="14511"/>
    <col width="9" customWidth="1" style="46" min="14512" max="14512"/>
    <col hidden="1" width="13" customWidth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width="13" customWidth="1" style="46" min="14767" max="14767"/>
    <col width="9" customWidth="1" style="46" min="14768" max="14768"/>
    <col hidden="1" width="13" customWidth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width="13" customWidth="1" style="46" min="15023" max="15023"/>
    <col width="9" customWidth="1" style="46" min="15024" max="15024"/>
    <col hidden="1" width="13" customWidth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width="13" customWidth="1" style="46" min="15279" max="15279"/>
    <col width="9" customWidth="1" style="46" min="15280" max="15280"/>
    <col hidden="1" width="13" customWidth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width="13" customWidth="1" style="46" min="15535" max="15535"/>
    <col width="9" customWidth="1" style="46" min="15536" max="15536"/>
    <col hidden="1" width="13" customWidth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width="13" customWidth="1" style="46" min="15791" max="15791"/>
    <col width="9" customWidth="1" style="46" min="15792" max="15792"/>
    <col hidden="1" width="13" customWidth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width="13" customWidth="1" style="46" min="16047" max="16047"/>
    <col width="9" customWidth="1" style="46" min="16048" max="16048"/>
    <col hidden="1" width="13" customWidth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inlineStr">
        <is>
          <t xml:space="preserve">VO1 - </t>
        </is>
      </c>
      <c r="C4" s="537" t="n">
        <v>109500.16</v>
      </c>
      <c r="D4" s="538" t="n">
        <v>0</v>
      </c>
      <c r="E4" s="538" t="n">
        <v>0</v>
      </c>
      <c r="F4" s="191" t="n">
        <v>109500.16</v>
      </c>
      <c r="G4" s="192" t="n"/>
      <c r="J4" s="192" t="n"/>
    </row>
    <row r="5" ht="28.9" customHeight="1">
      <c r="A5" s="60" t="n">
        <v>2</v>
      </c>
      <c r="B5" s="330" t="inlineStr">
        <is>
          <t xml:space="preserve">VO2 - east </t>
        </is>
      </c>
      <c r="C5" s="539" t="n">
        <v>1687.95</v>
      </c>
      <c r="D5" s="516" t="n">
        <v>0</v>
      </c>
      <c r="E5" s="507" t="n">
        <v>0</v>
      </c>
      <c r="F5" s="214" t="n">
        <v>1687.95</v>
      </c>
      <c r="G5" s="160" t="n"/>
      <c r="J5" s="160" t="n"/>
    </row>
    <row r="6" ht="28.9" customHeight="1">
      <c r="A6" s="60" t="n">
        <v>3</v>
      </c>
      <c r="B6" s="330" t="inlineStr">
        <is>
          <t xml:space="preserve">VO3 - </t>
        </is>
      </c>
      <c r="C6" s="539" t="n">
        <v>0</v>
      </c>
      <c r="D6" s="540" t="n">
        <v>0</v>
      </c>
      <c r="E6" s="516" t="n">
        <v>0</v>
      </c>
      <c r="F6" s="541" t="n">
        <v>0</v>
      </c>
      <c r="G6" s="184" t="n"/>
    </row>
    <row r="7" ht="28.9" customHeight="1">
      <c r="A7" s="60" t="n">
        <v>4</v>
      </c>
      <c r="B7" s="331" t="inlineStr">
        <is>
          <t xml:space="preserve">VO4 - </t>
        </is>
      </c>
      <c r="C7" s="539" t="n">
        <v>40601.55</v>
      </c>
      <c r="D7" s="516" t="n">
        <v>0</v>
      </c>
      <c r="E7" s="540" t="n">
        <v>0</v>
      </c>
      <c r="F7" s="214" t="n">
        <v>40601.55</v>
      </c>
      <c r="G7" s="160" t="n"/>
    </row>
    <row r="8" ht="28.9" customHeight="1">
      <c r="A8" s="60" t="n"/>
      <c r="B8" s="331" t="inlineStr">
        <is>
          <t>TOTALS</t>
        </is>
      </c>
      <c r="C8" s="539">
        <f>SUM(C4:C7)</f>
        <v/>
      </c>
      <c r="D8" s="540">
        <f>SUM(D4:D7)</f>
        <v/>
      </c>
      <c r="E8" s="516">
        <f>SUM(E4:E7)</f>
        <v/>
      </c>
      <c r="F8" s="542">
        <f>SUM(F4:F7)</f>
        <v/>
      </c>
      <c r="G8" s="184" t="n"/>
    </row>
    <row r="9" ht="28.9" customHeight="1">
      <c r="A9" s="60" t="n"/>
      <c r="B9" s="331" t="n"/>
      <c r="C9" s="539" t="n"/>
      <c r="D9" s="516" t="n"/>
      <c r="E9" s="540" t="n"/>
      <c r="F9" s="214" t="n"/>
      <c r="G9" s="160" t="n"/>
    </row>
    <row r="10" ht="28.9" customHeight="1">
      <c r="A10" s="60" t="n"/>
      <c r="B10" s="331" t="n"/>
      <c r="C10" s="539" t="n"/>
      <c r="D10" s="516" t="n"/>
      <c r="E10" s="540" t="n"/>
      <c r="F10" s="214" t="n"/>
      <c r="G10" s="160" t="n"/>
    </row>
    <row r="11" ht="28.9" customHeight="1">
      <c r="A11" s="60" t="n"/>
      <c r="B11" s="331" t="n"/>
      <c r="C11" s="539" t="n"/>
      <c r="D11" s="516" t="n"/>
      <c r="E11" s="540" t="n"/>
      <c r="F11" s="541" t="n"/>
      <c r="G11" s="160" t="n"/>
    </row>
    <row r="12" ht="28.9" customHeight="1">
      <c r="A12" s="60" t="n"/>
      <c r="B12" s="331" t="n"/>
      <c r="C12" s="539" t="n"/>
      <c r="D12" s="516" t="n"/>
      <c r="E12" s="540" t="n"/>
      <c r="F12" s="214" t="n"/>
      <c r="G12" s="160" t="n"/>
    </row>
    <row r="13" ht="28.9" customHeight="1">
      <c r="A13" s="60" t="n"/>
      <c r="B13" s="331" t="n"/>
      <c r="C13" s="539" t="n"/>
      <c r="D13" s="516" t="n"/>
      <c r="E13" s="540" t="n"/>
      <c r="F13" s="214" t="n"/>
      <c r="G13" s="160" t="n"/>
    </row>
    <row r="14" ht="28.9" customHeight="1">
      <c r="A14" s="60" t="n"/>
      <c r="B14" s="332" t="n"/>
      <c r="C14" s="543" t="n"/>
      <c r="D14" s="516" t="n"/>
      <c r="E14" s="544" t="n"/>
      <c r="F14" s="217" t="n"/>
      <c r="G14" s="184" t="n"/>
    </row>
    <row r="15" ht="28.9" customHeight="1">
      <c r="A15" s="60" t="n"/>
      <c r="B15" s="332" t="n"/>
      <c r="C15" s="543" t="n"/>
      <c r="D15" s="516" t="n"/>
      <c r="E15" s="544" t="n"/>
      <c r="F15" s="217" t="n"/>
      <c r="G15" s="160" t="n"/>
    </row>
    <row r="16" ht="28.9" customHeight="1">
      <c r="A16" s="60" t="n"/>
      <c r="B16" s="332" t="n"/>
      <c r="C16" s="543" t="n"/>
      <c r="D16" s="516" t="n"/>
      <c r="E16" s="544" t="n"/>
      <c r="F16" s="217" t="n"/>
      <c r="G16" s="184" t="n"/>
    </row>
    <row r="17" ht="28.9" customHeight="1">
      <c r="A17" s="60" t="n"/>
      <c r="B17" s="332" t="n"/>
      <c r="C17" s="543" t="n"/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n"/>
      <c r="C21" s="522" t="n"/>
      <c r="D21" s="545" t="n"/>
      <c r="E21" s="521" t="n"/>
      <c r="F21" s="546" t="n"/>
      <c r="G21" s="547" t="n"/>
    </row>
    <row r="22" ht="24" customHeight="1">
      <c r="A22" s="58" t="n"/>
      <c r="B22" s="67" t="n"/>
      <c r="F22" s="46" t="n"/>
      <c r="G22" s="529" t="n"/>
    </row>
    <row r="23">
      <c r="C23" s="481" t="n"/>
      <c r="D23" s="481" t="n"/>
      <c r="E23" s="481" t="n"/>
      <c r="F23" s="46" t="n"/>
    </row>
    <row r="24">
      <c r="C24" s="481" t="n"/>
      <c r="D24" s="481" t="n"/>
      <c r="E24" s="481" t="n"/>
    </row>
    <row r="25">
      <c r="C25" s="481" t="n"/>
      <c r="D25" s="481" t="n"/>
      <c r="E25" s="481" t="n"/>
    </row>
    <row r="26"/>
    <row r="27"/>
    <row r="28"/>
    <row r="29"/>
    <row r="30"/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2026-06-14T15:43:02Z</dcterms:modified>
  <cp:lastModifiedBy>Amy Chen</cp:lastModifiedBy>
  <cp:lastPrinted>2026-04-10T05:42:50Z</cp:lastPrinted>
</cp:coreProperties>
</file>