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920" firstSheet="0" autoFilterDateGrouping="1"/>
  </bookViews>
  <sheets>
    <sheet xmlns:r="http://schemas.openxmlformats.org/officeDocument/2006/relationships" name="VO2" sheetId="1" state="visible" r:id="rId1"/>
    <sheet xmlns:r="http://schemas.openxmlformats.org/officeDocument/2006/relationships" name="VO3" sheetId="2" state="visible" r:id="rId2"/>
    <sheet xmlns:r="http://schemas.openxmlformats.org/officeDocument/2006/relationships" name="Register" sheetId="3" state="visible" r:id="rId3"/>
    <sheet xmlns:r="http://schemas.openxmlformats.org/officeDocument/2006/relationships" name="Internal VO Register" sheetId="4" state="visible" r:id="rId4"/>
  </sheets>
  <definedNames>
    <definedName name="_xlnm.Print_Area" localSheetId="2">'Register'!$A$1:$M$38</definedName>
    <definedName name="_xlnm.Print_Area" localSheetId="3">'Internal VO Register'!$A$1:$G$21</definedName>
  </definedNames>
  <calcPr calcId="191028" fullCalcOnLoad="1"/>
</workbook>
</file>

<file path=xl/styles.xml><?xml version="1.0" encoding="utf-8"?>
<styleSheet xmlns="http://schemas.openxmlformats.org/spreadsheetml/2006/main">
  <numFmts count="12">
    <numFmt numFmtId="164" formatCode="0.00_ ;[Red]\-0.00\ "/>
    <numFmt numFmtId="165" formatCode="_-[$$-C09]* #,##0.00_-;\-[$$-C09]* #,##0.00_-;_-[$$-C09]* &quot;-&quot;??_-;_-@_-"/>
    <numFmt numFmtId="166" formatCode="&quot;$&quot;#,##0.00"/>
    <numFmt numFmtId="167" formatCode="_-&quot;$&quot;* #,##0.00_-;\-&quot;$&quot;* #,##0.00_-;_-&quot;$&quot;* &quot;-&quot;??_-;_-@_-"/>
    <numFmt numFmtId="168" formatCode="m/d/yyyy;@"/>
    <numFmt numFmtId="169" formatCode="_-* #,##0.00_-;\-* #,##0.00_-;_-* &quot;-&quot;??_-;_-@_-"/>
    <numFmt numFmtId="170" formatCode="_(&quot;$&quot;* #,##0.00_);_(&quot;$&quot;* \(#,##0.00\);_(&quot;$&quot;* &quot;-&quot;??_);_(@_)"/>
    <numFmt numFmtId="171" formatCode="_-[$$-C09]* #,##0.0_-;\-[$$-C09]* #,##0.0_-;_-[$$-C09]* &quot;-&quot;??_-;_-@_-"/>
    <numFmt numFmtId="172" formatCode="[$-409]d\-mmm\-yy;@"/>
    <numFmt numFmtId="173" formatCode="_(\$* #,##0.00_);_(\$* \(#,##0.00\);_(\$* \-??_);_(@_)"/>
    <numFmt numFmtId="174" formatCode="0.00_)"/>
    <numFmt numFmtId="175" formatCode="DD/MM/YYYY"/>
  </numFmts>
  <fonts count="8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8"/>
      <scheme val="minor"/>
    </font>
    <font>
      <name val="Calibri"/>
      <family val="2"/>
      <color theme="1"/>
      <sz val="9"/>
      <scheme val="minor"/>
    </font>
    <font>
      <name val="Calibri"/>
      <family val="2"/>
      <b val="1"/>
      <color theme="1"/>
      <sz val="8"/>
      <scheme val="minor"/>
    </font>
    <font>
      <name val="Calibri"/>
      <family val="2"/>
      <b val="1"/>
      <color theme="1"/>
      <sz val="9"/>
      <scheme val="minor"/>
    </font>
    <font>
      <name val="Edwardian Script ITC"/>
      <family val="4"/>
      <color theme="5" tint="-0.499984740745262"/>
      <sz val="18"/>
    </font>
    <font>
      <name val="Calibri"/>
      <family val="2"/>
      <color theme="1"/>
      <sz val="12"/>
      <scheme val="minor"/>
    </font>
    <font>
      <name val="Calibri"/>
      <family val="2"/>
      <color theme="1"/>
      <sz val="10"/>
      <scheme val="minor"/>
    </font>
    <font>
      <name val="Helvetica-Narrow"/>
      <family val="2"/>
      <sz val="16"/>
    </font>
    <font>
      <name val="HelveticaNeue LT 65 Medium"/>
      <b val="1"/>
      <sz val="16"/>
    </font>
    <font>
      <name val="Helvetica-Narrow"/>
      <family val="2"/>
      <b val="1"/>
      <sz val="16"/>
    </font>
    <font>
      <name val="Arial"/>
      <family val="2"/>
      <sz val="10"/>
    </font>
    <font>
      <name val="Myriad Apple Text"/>
      <sz val="10"/>
    </font>
    <font>
      <name val="Myriad Apple Text"/>
      <b val="1"/>
      <sz val="12"/>
    </font>
    <font>
      <name val="Arial"/>
      <family val="2"/>
      <color indexed="8"/>
      <sz val="10"/>
    </font>
    <font>
      <name val="Myriad Apple Text"/>
      <color indexed="10"/>
      <sz val="10"/>
    </font>
    <font>
      <name val="Arial"/>
      <family val="2"/>
      <color rgb="FFFF0000"/>
      <sz val="10"/>
    </font>
    <font>
      <name val="Arial"/>
      <family val="2"/>
      <b val="1"/>
      <sz val="10"/>
    </font>
    <font>
      <name val="Arial"/>
      <family val="2"/>
      <b val="1"/>
      <sz val="8"/>
    </font>
    <font>
      <name val="Myriad Apple Text"/>
      <sz val="9"/>
    </font>
    <font>
      <name val="Arial"/>
      <family val="2"/>
      <b val="1"/>
      <color indexed="12"/>
      <sz val="10"/>
    </font>
    <font>
      <name val="Myriad Apple Text"/>
      <color indexed="12"/>
      <sz val="10"/>
    </font>
    <font>
      <name val="Calibri"/>
      <family val="2"/>
      <i val="1"/>
      <strike val="1"/>
      <color theme="1" tint="0.499984740745262"/>
      <sz val="10"/>
      <scheme val="minor"/>
    </font>
    <font>
      <name val="Calibri"/>
      <family val="2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i val="1"/>
      <color theme="1"/>
      <sz val="10"/>
      <scheme val="minor"/>
    </font>
    <font>
      <name val="Calibri"/>
      <family val="2"/>
      <b val="1"/>
      <color theme="3"/>
      <sz val="10"/>
      <scheme val="minor"/>
    </font>
    <font>
      <name val="Helvetica-Narrow"/>
      <family val="2"/>
      <sz val="10"/>
    </font>
    <font>
      <name val="Calibri"/>
      <family val="2"/>
      <color rgb="FFFF0000"/>
      <sz val="10"/>
      <scheme val="minor"/>
    </font>
    <font>
      <name val="Calibri"/>
      <family val="2"/>
      <sz val="8"/>
      <scheme val="minor"/>
    </font>
    <font>
      <name val="Rage Italic"/>
      <family val="4"/>
      <sz val="18"/>
    </font>
    <font>
      <name val="Calibri"/>
      <family val="2"/>
      <b val="1"/>
      <sz val="8"/>
      <scheme val="minor"/>
    </font>
    <font>
      <name val="Calibri"/>
      <family val="2"/>
      <color rgb="FFFF0000"/>
      <sz val="8"/>
      <scheme val="minor"/>
    </font>
    <font>
      <name val="Arial"/>
      <family val="2"/>
      <b val="1"/>
      <i val="1"/>
      <sz val="10"/>
    </font>
    <font>
      <name val="Myriad Apple Text"/>
      <color rgb="FFFF0000"/>
      <sz val="10"/>
    </font>
    <font>
      <name val="Myriad Apple Text"/>
      <b val="1"/>
      <sz val="10"/>
    </font>
    <font>
      <name val="Arial"/>
      <family val="2"/>
      <b val="1"/>
      <color rgb="FFFF0000"/>
      <sz val="10"/>
    </font>
    <font>
      <name val="Arial"/>
      <family val="2"/>
      <color theme="1"/>
      <sz val="10"/>
    </font>
    <font>
      <name val="Calibri"/>
      <family val="2"/>
      <color rgb="FF3F3F76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Arial"/>
      <family val="2"/>
      <sz val="10"/>
    </font>
    <font>
      <name val="Calibri"/>
      <family val="2"/>
      <color indexed="8"/>
      <sz val="11"/>
    </font>
    <font>
      <name val="Calibri"/>
      <family val="2"/>
      <color indexed="9"/>
      <sz val="11"/>
    </font>
    <font>
      <name val="Calibri"/>
      <family val="2"/>
      <color indexed="20"/>
      <sz val="11"/>
    </font>
    <font>
      <name val="Calibri"/>
      <family val="2"/>
      <b val="1"/>
      <color indexed="10"/>
      <sz val="11"/>
    </font>
    <font>
      <name val="Calibri"/>
      <family val="2"/>
      <b val="1"/>
      <color indexed="9"/>
      <sz val="11"/>
    </font>
    <font>
      <name val="Calibri"/>
      <family val="2"/>
      <i val="1"/>
      <color indexed="23"/>
      <sz val="11"/>
    </font>
    <font>
      <name val="Calibri"/>
      <family val="2"/>
      <color indexed="17"/>
      <sz val="11"/>
    </font>
    <font>
      <name val="Calibri"/>
      <family val="2"/>
      <b val="1"/>
      <color indexed="62"/>
      <sz val="15"/>
    </font>
    <font>
      <name val="Calibri"/>
      <family val="2"/>
      <b val="1"/>
      <color indexed="62"/>
      <sz val="13"/>
    </font>
    <font>
      <name val="Calibri"/>
      <family val="2"/>
      <b val="1"/>
      <color indexed="62"/>
      <sz val="11"/>
    </font>
    <font>
      <name val="Calibri"/>
      <family val="2"/>
      <color indexed="62"/>
      <sz val="11"/>
    </font>
    <font>
      <name val="Calibri"/>
      <family val="2"/>
      <color indexed="10"/>
      <sz val="11"/>
    </font>
    <font>
      <name val="Calibri"/>
      <family val="2"/>
      <color indexed="19"/>
      <sz val="11"/>
    </font>
    <font>
      <name val="Calibri"/>
      <family val="2"/>
      <b val="1"/>
      <color indexed="63"/>
      <sz val="11"/>
    </font>
    <font>
      <name val="Cambria"/>
      <family val="2"/>
      <b val="1"/>
      <color indexed="62"/>
      <sz val="18"/>
    </font>
    <font>
      <name val="Calibri"/>
      <family val="2"/>
      <b val="1"/>
      <color indexed="8"/>
      <sz val="11"/>
    </font>
    <font>
      <name val="Swis721 Lt BT"/>
      <family val="2"/>
      <b val="1"/>
      <color theme="0"/>
      <sz val="10"/>
    </font>
    <font>
      <name val="Swiss (scalable)"/>
      <family val="2"/>
      <sz val="11"/>
    </font>
    <font>
      <name val="Helv"/>
      <sz val="10"/>
    </font>
    <font>
      <name val="Arial"/>
      <family val="2"/>
      <color indexed="12"/>
      <sz val="10"/>
      <u val="single"/>
    </font>
    <font>
      <name val="MS Sans Serif"/>
      <family val="2"/>
      <sz val="10"/>
    </font>
    <font>
      <name val="Helv"/>
      <b val="1"/>
      <i val="1"/>
      <sz val="16"/>
    </font>
    <font>
      <name val="MS Sans Serif"/>
      <family val="2"/>
      <color indexed="12"/>
      <sz val="10"/>
      <u val="single"/>
    </font>
    <font>
      <name val="MS Sans Serif"/>
      <family val="2"/>
      <color indexed="8"/>
      <sz val="10"/>
    </font>
    <font>
      <name val="Calibri"/>
      <family val="2"/>
      <i val="1"/>
      <color theme="1"/>
      <sz val="12"/>
      <scheme val="minor"/>
    </font>
    <font>
      <name val="Calibri"/>
      <family val="2"/>
      <b val="1"/>
      <color theme="3"/>
      <sz val="12"/>
      <scheme val="minor"/>
    </font>
    <font>
      <name val="Calibri"/>
      <family val="2"/>
      <sz val="12"/>
      <scheme val="minor"/>
    </font>
    <font>
      <name val="Calibri"/>
      <family val="2"/>
      <color rgb="FFFF0000"/>
      <sz val="12"/>
      <scheme val="minor"/>
    </font>
    <font>
      <name val="Calibri"/>
      <family val="2"/>
      <b val="1"/>
      <sz val="12"/>
      <scheme val="minor"/>
    </font>
    <font>
      <name val="Edwardian Script ITC"/>
      <family val="4"/>
      <color theme="5" tint="-0.499984740745262"/>
      <sz val="12"/>
    </font>
    <font>
      <name val="Rage Italic"/>
      <family val="4"/>
      <sz val="12"/>
    </font>
    <font>
      <name val="Arial"/>
      <family val="2"/>
      <b val="1"/>
      <color indexed="8"/>
      <sz val="10"/>
    </font>
    <font>
      <name val="Arial"/>
      <family val="2"/>
      <sz val="12"/>
    </font>
    <font>
      <name val="Arial"/>
      <family val="2"/>
      <b val="1"/>
      <sz val="12"/>
    </font>
  </fonts>
  <fills count="33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46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theme="6"/>
        <bgColor indexed="64"/>
      </patternFill>
    </fill>
    <fill>
      <patternFill patternType="solid">
        <fgColor rgb="FF2B2BF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7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dotted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108">
    <xf numFmtId="0" fontId="1" fillId="0" borderId="0"/>
    <xf numFmtId="170" fontId="1" fillId="0" borderId="0"/>
    <xf numFmtId="0" fontId="9" fillId="0" borderId="0"/>
    <xf numFmtId="0" fontId="45" fillId="0" borderId="0"/>
    <xf numFmtId="167" fontId="45" fillId="0" borderId="0"/>
    <xf numFmtId="0" fontId="45" fillId="0" borderId="0"/>
    <xf numFmtId="167" fontId="45" fillId="0" borderId="0"/>
    <xf numFmtId="167" fontId="1" fillId="0" borderId="0"/>
    <xf numFmtId="0" fontId="1" fillId="0" borderId="0"/>
    <xf numFmtId="43" fontId="1" fillId="0" borderId="0"/>
    <xf numFmtId="0" fontId="45" fillId="0" borderId="0"/>
    <xf numFmtId="0" fontId="46" fillId="12" borderId="0"/>
    <xf numFmtId="0" fontId="46" fillId="13" borderId="0"/>
    <xf numFmtId="0" fontId="46" fillId="14" borderId="0"/>
    <xf numFmtId="0" fontId="46" fillId="15" borderId="0"/>
    <xf numFmtId="0" fontId="46" fillId="16" borderId="0"/>
    <xf numFmtId="0" fontId="46" fillId="14" borderId="0"/>
    <xf numFmtId="0" fontId="46" fillId="16" borderId="0"/>
    <xf numFmtId="0" fontId="46" fillId="13" borderId="0"/>
    <xf numFmtId="0" fontId="46" fillId="17" borderId="0"/>
    <xf numFmtId="0" fontId="46" fillId="18" borderId="0"/>
    <xf numFmtId="0" fontId="46" fillId="16" borderId="0"/>
    <xf numFmtId="0" fontId="46" fillId="14" borderId="0"/>
    <xf numFmtId="0" fontId="47" fillId="16" borderId="0"/>
    <xf numFmtId="0" fontId="47" fillId="19" borderId="0"/>
    <xf numFmtId="0" fontId="47" fillId="20" borderId="0"/>
    <xf numFmtId="0" fontId="47" fillId="18" borderId="0"/>
    <xf numFmtId="0" fontId="47" fillId="16" borderId="0"/>
    <xf numFmtId="0" fontId="47" fillId="13" borderId="0"/>
    <xf numFmtId="0" fontId="47" fillId="21" borderId="0"/>
    <xf numFmtId="0" fontId="47" fillId="19" borderId="0"/>
    <xf numFmtId="0" fontId="47" fillId="20" borderId="0"/>
    <xf numFmtId="0" fontId="47" fillId="22" borderId="0"/>
    <xf numFmtId="0" fontId="47" fillId="23" borderId="0"/>
    <xf numFmtId="0" fontId="47" fillId="24" borderId="0"/>
    <xf numFmtId="0" fontId="48" fillId="25" borderId="0"/>
    <xf numFmtId="0" fontId="49" fillId="26" borderId="55"/>
    <xf numFmtId="0" fontId="50" fillId="27" borderId="56"/>
    <xf numFmtId="0" fontId="51" fillId="0" borderId="0"/>
    <xf numFmtId="0" fontId="52" fillId="16" borderId="0"/>
    <xf numFmtId="0" fontId="53" fillId="0" borderId="57"/>
    <xf numFmtId="0" fontId="54" fillId="0" borderId="58"/>
    <xf numFmtId="0" fontId="55" fillId="0" borderId="59"/>
    <xf numFmtId="0" fontId="55" fillId="0" borderId="0"/>
    <xf numFmtId="0" fontId="56" fillId="17" borderId="55"/>
    <xf numFmtId="0" fontId="57" fillId="0" borderId="60"/>
    <xf numFmtId="0" fontId="58" fillId="17" borderId="0"/>
    <xf numFmtId="0" fontId="45" fillId="14" borderId="61"/>
    <xf numFmtId="0" fontId="59" fillId="26" borderId="62"/>
    <xf numFmtId="0" fontId="60" fillId="0" borderId="0"/>
    <xf numFmtId="0" fontId="61" fillId="0" borderId="63"/>
    <xf numFmtId="0" fontId="57" fillId="0" borderId="0"/>
    <xf numFmtId="0" fontId="1" fillId="0" borderId="0"/>
    <xf numFmtId="167" fontId="1" fillId="0" borderId="0"/>
    <xf numFmtId="0" fontId="45" fillId="0" borderId="0"/>
    <xf numFmtId="9" fontId="1" fillId="0" borderId="0"/>
    <xf numFmtId="0" fontId="45" fillId="0" borderId="0"/>
    <xf numFmtId="167" fontId="45" fillId="0" borderId="0"/>
    <xf numFmtId="0" fontId="1" fillId="0" borderId="0"/>
    <xf numFmtId="43" fontId="1" fillId="0" borderId="0"/>
    <xf numFmtId="167" fontId="1" fillId="0" borderId="0"/>
    <xf numFmtId="0" fontId="41" fillId="9" borderId="52"/>
    <xf numFmtId="0" fontId="44" fillId="11" borderId="54"/>
    <xf numFmtId="4" fontId="62" fillId="29" borderId="16" applyAlignment="1">
      <alignment horizontal="right"/>
    </xf>
    <xf numFmtId="4" fontId="62" fillId="28" borderId="0" applyAlignment="1">
      <alignment horizontal="right" vertical="center"/>
    </xf>
    <xf numFmtId="0" fontId="63" fillId="0" borderId="0"/>
    <xf numFmtId="43" fontId="45" fillId="0" borderId="0"/>
    <xf numFmtId="173" fontId="63" fillId="0" borderId="0"/>
    <xf numFmtId="167" fontId="45" fillId="0" borderId="0"/>
    <xf numFmtId="0" fontId="65" fillId="0" borderId="0" applyAlignment="1" applyProtection="1">
      <alignment vertical="top"/>
      <protection locked="0" hidden="0"/>
    </xf>
    <xf numFmtId="0" fontId="65" fillId="0" borderId="0" applyAlignment="1" applyProtection="1">
      <alignment vertical="top"/>
      <protection locked="0" hidden="0"/>
    </xf>
    <xf numFmtId="0" fontId="65" fillId="0" borderId="0" applyAlignment="1" applyProtection="1">
      <alignment vertical="top"/>
      <protection locked="0" hidden="0"/>
    </xf>
    <xf numFmtId="0" fontId="65" fillId="0" borderId="0" applyAlignment="1" applyProtection="1">
      <alignment vertical="top"/>
      <protection locked="0" hidden="0"/>
    </xf>
    <xf numFmtId="0" fontId="65" fillId="0" borderId="0" applyAlignment="1" applyProtection="1">
      <alignment vertical="top"/>
      <protection locked="0" hidden="0"/>
    </xf>
    <xf numFmtId="0" fontId="68" fillId="0" borderId="0" applyAlignment="1" applyProtection="1">
      <alignment vertical="top"/>
      <protection locked="0" hidden="0"/>
    </xf>
    <xf numFmtId="173" fontId="64" fillId="0" borderId="0" applyAlignment="1">
      <alignment horizontal="right"/>
    </xf>
    <xf numFmtId="174" fontId="67" fillId="0" borderId="0"/>
    <xf numFmtId="0" fontId="45" fillId="0" borderId="0"/>
    <xf numFmtId="0" fontId="66" fillId="0" borderId="0"/>
    <xf numFmtId="0" fontId="66" fillId="0" borderId="0"/>
    <xf numFmtId="0" fontId="45" fillId="0" borderId="0"/>
    <xf numFmtId="0" fontId="1" fillId="0" borderId="0"/>
    <xf numFmtId="9" fontId="63" fillId="0" borderId="0"/>
    <xf numFmtId="0" fontId="43" fillId="0" borderId="53"/>
    <xf numFmtId="0" fontId="63" fillId="0" borderId="0"/>
    <xf numFmtId="0" fontId="63" fillId="0" borderId="0"/>
    <xf numFmtId="9" fontId="1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3" fillId="0" borderId="0"/>
    <xf numFmtId="0" fontId="42" fillId="10" borderId="52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5" fillId="0" borderId="0"/>
  </cellStyleXfs>
  <cellXfs count="559">
    <xf numFmtId="0" fontId="0" fillId="0" borderId="0" pivotButton="0" quotePrefix="0" xfId="0"/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wrapText="1"/>
    </xf>
    <xf numFmtId="164" fontId="0" fillId="0" borderId="0" pivotButton="0" quotePrefix="0" xfId="0"/>
    <xf numFmtId="0" fontId="3" fillId="0" borderId="0" applyAlignment="1" pivotButton="0" quotePrefix="0" xfId="0">
      <alignment horizontal="center" vertical="top"/>
    </xf>
    <xf numFmtId="164" fontId="3" fillId="0" borderId="0" applyAlignment="1" pivotButton="0" quotePrefix="0" xfId="0">
      <alignment horizontal="center"/>
    </xf>
    <xf numFmtId="0" fontId="5" fillId="0" borderId="0" pivotButton="0" quotePrefix="0" xfId="0"/>
    <xf numFmtId="164" fontId="5" fillId="0" borderId="0" pivotButton="0" quotePrefix="0" xfId="0"/>
    <xf numFmtId="0" fontId="7" fillId="0" borderId="0" applyAlignment="1" pivotButton="0" quotePrefix="0" xfId="0">
      <alignment horizontal="right" wrapText="1"/>
    </xf>
    <xf numFmtId="0" fontId="6" fillId="0" borderId="0" applyAlignment="1" pivotButton="0" quotePrefix="0" xfId="0">
      <alignment horizontal="left" wrapText="1"/>
    </xf>
    <xf numFmtId="165" fontId="7" fillId="0" borderId="0" pivotButton="0" quotePrefix="0" xfId="0"/>
    <xf numFmtId="165" fontId="8" fillId="0" borderId="0" applyAlignment="1" pivotButton="0" quotePrefix="0" xfId="0">
      <alignment vertical="center"/>
    </xf>
    <xf numFmtId="165" fontId="5" fillId="0" borderId="14" applyAlignment="1" pivotButton="0" quotePrefix="0" xfId="0">
      <alignment horizontal="left"/>
    </xf>
    <xf numFmtId="165" fontId="5" fillId="0" borderId="0" applyAlignment="1" pivotButton="0" quotePrefix="0" xfId="0">
      <alignment horizontal="left"/>
    </xf>
    <xf numFmtId="165" fontId="5" fillId="0" borderId="9" applyAlignment="1" pivotButton="0" quotePrefix="0" xfId="0">
      <alignment horizontal="left"/>
    </xf>
    <xf numFmtId="165" fontId="5" fillId="0" borderId="0" applyAlignment="1" pivotButton="0" quotePrefix="0" xfId="0">
      <alignment horizontal="center"/>
    </xf>
    <xf numFmtId="164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vertical="top"/>
    </xf>
    <xf numFmtId="0" fontId="5" fillId="0" borderId="0" applyAlignment="1" pivotButton="0" quotePrefix="0" xfId="0">
      <alignment wrapText="1"/>
    </xf>
    <xf numFmtId="0" fontId="7" fillId="0" borderId="0" applyAlignment="1" pivotButton="0" quotePrefix="0" xfId="0">
      <alignment vertical="top"/>
    </xf>
    <xf numFmtId="0" fontId="7" fillId="0" borderId="0" applyAlignment="1" pivotButton="0" quotePrefix="0" xfId="0">
      <alignment wrapText="1"/>
    </xf>
    <xf numFmtId="164" fontId="7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horizontal="center" wrapText="1"/>
    </xf>
    <xf numFmtId="14" fontId="10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165" fontId="8" fillId="0" borderId="0" applyAlignment="1" pivotButton="0" quotePrefix="0" xfId="0">
      <alignment horizontal="center" vertical="center"/>
    </xf>
    <xf numFmtId="165" fontId="8" fillId="0" borderId="14" applyAlignment="1" pivotButton="0" quotePrefix="0" xfId="0">
      <alignment horizontal="center" vertical="center"/>
    </xf>
    <xf numFmtId="165" fontId="7" fillId="0" borderId="0" applyAlignment="1" pivotButton="0" quotePrefix="0" xfId="0">
      <alignment horizontal="center"/>
    </xf>
    <xf numFmtId="165" fontId="7" fillId="0" borderId="13" applyAlignment="1" pivotButton="0" quotePrefix="0" xfId="0">
      <alignment horizontal="left"/>
    </xf>
    <xf numFmtId="165" fontId="7" fillId="0" borderId="14" applyAlignment="1" pivotButton="0" quotePrefix="0" xfId="0">
      <alignment horizontal="left"/>
    </xf>
    <xf numFmtId="0" fontId="0" fillId="0" borderId="13" pivotButton="0" quotePrefix="0" xfId="0"/>
    <xf numFmtId="165" fontId="5" fillId="0" borderId="10" applyAlignment="1" pivotButton="0" quotePrefix="0" xfId="0">
      <alignment horizontal="left"/>
    </xf>
    <xf numFmtId="0" fontId="4" fillId="0" borderId="0" applyAlignment="1" pivotButton="0" quotePrefix="0" xfId="0">
      <alignment horizontal="left" vertical="top"/>
    </xf>
    <xf numFmtId="165" fontId="7" fillId="0" borderId="11" applyAlignment="1" pivotButton="0" quotePrefix="0" xfId="0">
      <alignment horizontal="left"/>
    </xf>
    <xf numFmtId="165" fontId="7" fillId="0" borderId="12" applyAlignment="1" pivotButton="0" quotePrefix="0" xfId="0">
      <alignment horizontal="left"/>
    </xf>
    <xf numFmtId="0" fontId="0" fillId="0" borderId="14" pivotButton="0" quotePrefix="0" xfId="0"/>
    <xf numFmtId="165" fontId="5" fillId="0" borderId="13" applyAlignment="1" pivotButton="0" quotePrefix="0" xfId="0">
      <alignment horizontal="left"/>
    </xf>
    <xf numFmtId="0" fontId="12" fillId="0" borderId="1" pivotButton="0" quotePrefix="0" xfId="2"/>
    <xf numFmtId="166" fontId="13" fillId="0" borderId="1" applyAlignment="1" pivotButton="0" quotePrefix="0" xfId="2">
      <alignment vertical="center"/>
    </xf>
    <xf numFmtId="0" fontId="13" fillId="0" borderId="1" applyAlignment="1" pivotButton="0" quotePrefix="0" xfId="2">
      <alignment vertical="center"/>
    </xf>
    <xf numFmtId="0" fontId="13" fillId="0" borderId="1" applyAlignment="1" pivotButton="0" quotePrefix="0" xfId="2">
      <alignment horizontal="center" vertical="center"/>
    </xf>
    <xf numFmtId="0" fontId="15" fillId="0" borderId="0" applyAlignment="1" pivotButton="0" quotePrefix="0" xfId="3">
      <alignment horizontal="center" vertical="top"/>
    </xf>
    <xf numFmtId="0" fontId="16" fillId="0" borderId="0" applyAlignment="1" pivotButton="0" quotePrefix="0" xfId="3">
      <alignment horizontal="left" vertical="top"/>
    </xf>
    <xf numFmtId="0" fontId="15" fillId="0" borderId="0" applyAlignment="1" pivotButton="0" quotePrefix="0" xfId="3">
      <alignment vertical="top" wrapText="1"/>
    </xf>
    <xf numFmtId="0" fontId="15" fillId="0" borderId="0" applyAlignment="1" pivotButton="0" quotePrefix="0" xfId="3">
      <alignment vertical="top"/>
    </xf>
    <xf numFmtId="0" fontId="14" fillId="0" borderId="0" applyAlignment="1" pivotButton="0" quotePrefix="0" xfId="3">
      <alignment vertical="top" wrapText="1"/>
    </xf>
    <xf numFmtId="167" fontId="14" fillId="0" borderId="0" applyAlignment="1" pivotButton="0" quotePrefix="0" xfId="4">
      <alignment horizontal="center" vertical="top"/>
    </xf>
    <xf numFmtId="0" fontId="14" fillId="0" borderId="0" applyAlignment="1" pivotButton="0" quotePrefix="0" xfId="3">
      <alignment horizontal="right" vertical="top"/>
    </xf>
    <xf numFmtId="167" fontId="18" fillId="0" borderId="0" applyAlignment="1" pivotButton="0" quotePrefix="0" xfId="4">
      <alignment horizontal="center" vertical="top"/>
    </xf>
    <xf numFmtId="167" fontId="17" fillId="0" borderId="0" applyAlignment="1" pivotButton="0" quotePrefix="0" xfId="4">
      <alignment horizontal="center" vertical="top"/>
    </xf>
    <xf numFmtId="0" fontId="14" fillId="0" borderId="0" applyAlignment="1" pivotButton="0" quotePrefix="0" xfId="3">
      <alignment vertical="top"/>
    </xf>
    <xf numFmtId="0" fontId="14" fillId="0" borderId="0" applyAlignment="1" pivotButton="0" quotePrefix="0" xfId="3">
      <alignment horizontal="left" vertical="top" wrapText="1"/>
    </xf>
    <xf numFmtId="0" fontId="14" fillId="0" borderId="9" applyAlignment="1" pivotButton="0" quotePrefix="0" xfId="3">
      <alignment horizontal="right" vertical="top"/>
    </xf>
    <xf numFmtId="0" fontId="14" fillId="0" borderId="1" applyAlignment="1" pivotButton="0" quotePrefix="0" xfId="3">
      <alignment horizontal="right" vertical="top"/>
    </xf>
    <xf numFmtId="167" fontId="21" fillId="0" borderId="1" applyAlignment="1" pivotButton="0" quotePrefix="0" xfId="4">
      <alignment horizontal="right" vertical="center"/>
    </xf>
    <xf numFmtId="167" fontId="20" fillId="0" borderId="0" applyAlignment="1" pivotButton="0" quotePrefix="0" xfId="4">
      <alignment horizontal="center" vertical="center"/>
    </xf>
    <xf numFmtId="0" fontId="14" fillId="0" borderId="0" applyAlignment="1" pivotButton="0" quotePrefix="0" xfId="3">
      <alignment horizontal="center" vertical="top"/>
    </xf>
    <xf numFmtId="0" fontId="22" fillId="0" borderId="0" applyAlignment="1" pivotButton="0" quotePrefix="0" xfId="3">
      <alignment horizontal="center" vertical="center" wrapText="1"/>
    </xf>
    <xf numFmtId="0" fontId="14" fillId="0" borderId="4" applyAlignment="1" pivotButton="0" quotePrefix="0" xfId="3">
      <alignment horizontal="center" vertical="center"/>
    </xf>
    <xf numFmtId="0" fontId="14" fillId="0" borderId="3" applyAlignment="1" applyProtection="1" pivotButton="0" quotePrefix="0" xfId="5">
      <alignment horizontal="left" vertical="center" wrapText="1" indent="1"/>
      <protection locked="0" hidden="0"/>
    </xf>
    <xf numFmtId="167" fontId="14" fillId="0" borderId="4" applyAlignment="1" pivotButton="0" quotePrefix="0" xfId="1">
      <alignment horizontal="center" vertical="center"/>
    </xf>
    <xf numFmtId="167" fontId="14" fillId="0" borderId="5" applyAlignment="1" pivotButton="0" quotePrefix="0" xfId="4">
      <alignment horizontal="center" vertical="center"/>
    </xf>
    <xf numFmtId="0" fontId="14" fillId="0" borderId="6" applyAlignment="1" pivotButton="0" quotePrefix="0" xfId="4">
      <alignment horizontal="center" vertical="center"/>
    </xf>
    <xf numFmtId="0" fontId="14" fillId="0" borderId="3" applyAlignment="1" pivotButton="0" quotePrefix="0" xfId="4">
      <alignment horizontal="center" vertical="center"/>
    </xf>
    <xf numFmtId="0" fontId="14" fillId="0" borderId="4" applyAlignment="1" pivotButton="0" quotePrefix="0" xfId="3">
      <alignment vertical="center" wrapText="1"/>
    </xf>
    <xf numFmtId="0" fontId="20" fillId="0" borderId="0" applyAlignment="1" pivotButton="0" quotePrefix="0" xfId="3">
      <alignment horizontal="right" vertical="top" wrapText="1"/>
    </xf>
    <xf numFmtId="0" fontId="23" fillId="0" borderId="0" applyAlignment="1" pivotButton="0" quotePrefix="0" xfId="4">
      <alignment horizontal="center" vertical="top"/>
    </xf>
    <xf numFmtId="167" fontId="20" fillId="0" borderId="0" applyAlignment="1" pivotButton="0" quotePrefix="0" xfId="1">
      <alignment horizontal="center" vertical="top"/>
    </xf>
    <xf numFmtId="0" fontId="24" fillId="0" borderId="0" applyAlignment="1" pivotButton="0" quotePrefix="0" xfId="4">
      <alignment horizontal="center" vertical="top"/>
    </xf>
    <xf numFmtId="167" fontId="24" fillId="0" borderId="0" applyAlignment="1" pivotButton="0" quotePrefix="0" xfId="4">
      <alignment horizontal="center" vertical="top"/>
    </xf>
    <xf numFmtId="168" fontId="15" fillId="0" borderId="0" applyAlignment="1" pivotButton="0" quotePrefix="0" xfId="4">
      <alignment horizontal="center" vertical="top"/>
    </xf>
    <xf numFmtId="0" fontId="14" fillId="0" borderId="0" applyAlignment="1" pivotButton="0" quotePrefix="0" xfId="3">
      <alignment horizontal="right" vertical="center"/>
    </xf>
    <xf numFmtId="14" fontId="14" fillId="0" borderId="0" applyAlignment="1" pivotButton="0" quotePrefix="0" xfId="3">
      <alignment horizontal="left" vertical="center" wrapText="1"/>
    </xf>
    <xf numFmtId="167" fontId="17" fillId="0" borderId="5" applyAlignment="1" pivotButton="0" quotePrefix="0" xfId="4">
      <alignment horizontal="center" vertical="center"/>
    </xf>
    <xf numFmtId="0" fontId="17" fillId="0" borderId="6" applyAlignment="1" pivotButton="0" quotePrefix="0" xfId="4">
      <alignment horizontal="center" vertical="center"/>
    </xf>
    <xf numFmtId="0" fontId="17" fillId="0" borderId="3" applyAlignment="1" pivotButton="0" quotePrefix="0" xfId="4">
      <alignment horizontal="center" vertical="center"/>
    </xf>
    <xf numFmtId="167" fontId="14" fillId="0" borderId="5" applyAlignment="1" pivotButton="0" quotePrefix="0" xfId="1">
      <alignment horizontal="center" vertical="center"/>
    </xf>
    <xf numFmtId="167" fontId="17" fillId="0" borderId="6" applyAlignment="1" pivotButton="0" quotePrefix="0" xfId="4">
      <alignment horizontal="center" vertical="center"/>
    </xf>
    <xf numFmtId="167" fontId="17" fillId="0" borderId="22" applyAlignment="1" pivotButton="0" quotePrefix="0" xfId="4">
      <alignment horizontal="center" vertical="center"/>
    </xf>
    <xf numFmtId="0" fontId="17" fillId="0" borderId="23" applyAlignment="1" pivotButton="0" quotePrefix="0" xfId="4">
      <alignment horizontal="center" vertical="center"/>
    </xf>
    <xf numFmtId="0" fontId="10" fillId="0" borderId="31" applyAlignment="1" pivotButton="0" quotePrefix="0" xfId="0">
      <alignment vertical="top" wrapText="1"/>
    </xf>
    <xf numFmtId="49" fontId="10" fillId="0" borderId="32" applyAlignment="1" pivotButton="0" quotePrefix="0" xfId="0">
      <alignment horizontal="center" vertical="top"/>
    </xf>
    <xf numFmtId="165" fontId="10" fillId="0" borderId="32" applyAlignment="1" pivotButton="0" quotePrefix="0" xfId="0">
      <alignment horizontal="center" vertical="top"/>
    </xf>
    <xf numFmtId="0" fontId="10" fillId="0" borderId="35" applyAlignment="1" pivotButton="0" quotePrefix="0" xfId="0">
      <alignment wrapText="1"/>
    </xf>
    <xf numFmtId="49" fontId="10" fillId="0" borderId="36" applyAlignment="1" pivotButton="0" quotePrefix="0" xfId="0">
      <alignment horizontal="center"/>
    </xf>
    <xf numFmtId="165" fontId="10" fillId="0" borderId="36" applyAlignment="1" pivotButton="0" quotePrefix="0" xfId="0">
      <alignment horizontal="center"/>
    </xf>
    <xf numFmtId="165" fontId="10" fillId="0" borderId="37" applyAlignment="1" pivotButton="0" quotePrefix="0" xfId="0">
      <alignment horizontal="center"/>
    </xf>
    <xf numFmtId="0" fontId="10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left" vertical="center" wrapText="1"/>
    </xf>
    <xf numFmtId="0" fontId="10" fillId="0" borderId="0" pivotButton="0" quotePrefix="0" xfId="0"/>
    <xf numFmtId="0" fontId="10" fillId="0" borderId="0" applyAlignment="1" pivotButton="0" quotePrefix="0" xfId="0">
      <alignment horizontal="right" wrapText="1"/>
    </xf>
    <xf numFmtId="0" fontId="10" fillId="0" borderId="0" applyAlignment="1" pivotButton="0" quotePrefix="0" xfId="0">
      <alignment horizontal="right"/>
    </xf>
    <xf numFmtId="164" fontId="10" fillId="0" borderId="0" pivotButton="0" quotePrefix="0" xfId="0"/>
    <xf numFmtId="0" fontId="10" fillId="0" borderId="0" applyAlignment="1" pivotButton="0" quotePrefix="0" xfId="0">
      <alignment horizontal="left"/>
    </xf>
    <xf numFmtId="0" fontId="10" fillId="0" borderId="0" applyAlignment="1" pivotButton="0" quotePrefix="0" xfId="0">
      <alignment vertical="top"/>
    </xf>
    <xf numFmtId="0" fontId="10" fillId="0" borderId="0" applyAlignment="1" pivotButton="0" quotePrefix="0" xfId="0">
      <alignment horizontal="left" wrapText="1"/>
    </xf>
    <xf numFmtId="0" fontId="28" fillId="0" borderId="0" applyAlignment="1" pivotButton="0" quotePrefix="0" xfId="0">
      <alignment vertical="top"/>
    </xf>
    <xf numFmtId="0" fontId="27" fillId="0" borderId="1" applyAlignment="1" pivotButton="0" quotePrefix="0" xfId="0">
      <alignment wrapText="1"/>
    </xf>
    <xf numFmtId="0" fontId="10" fillId="0" borderId="0" applyAlignment="1" pivotButton="0" quotePrefix="0" xfId="0">
      <alignment horizontal="center"/>
    </xf>
    <xf numFmtId="164" fontId="10" fillId="0" borderId="0" applyAlignment="1" pivotButton="0" quotePrefix="0" xfId="0">
      <alignment horizontal="center"/>
    </xf>
    <xf numFmtId="0" fontId="29" fillId="2" borderId="18" applyAlignment="1" pivotButton="0" quotePrefix="0" xfId="0">
      <alignment horizontal="center" vertical="top"/>
    </xf>
    <xf numFmtId="0" fontId="29" fillId="2" borderId="18" applyAlignment="1" pivotButton="0" quotePrefix="0" xfId="0">
      <alignment horizontal="center"/>
    </xf>
    <xf numFmtId="164" fontId="29" fillId="2" borderId="19" applyAlignment="1" pivotButton="0" quotePrefix="0" xfId="0">
      <alignment horizontal="center"/>
    </xf>
    <xf numFmtId="0" fontId="26" fillId="0" borderId="26" applyAlignment="1" pivotButton="0" quotePrefix="0" xfId="0">
      <alignment horizontal="center" vertical="top"/>
    </xf>
    <xf numFmtId="0" fontId="10" fillId="0" borderId="27" applyAlignment="1" pivotButton="0" quotePrefix="0" xfId="0">
      <alignment vertical="top" wrapText="1"/>
    </xf>
    <xf numFmtId="0" fontId="10" fillId="0" borderId="30" applyAlignment="1" pivotButton="0" quotePrefix="0" xfId="0">
      <alignment horizontal="center" vertical="top"/>
    </xf>
    <xf numFmtId="0" fontId="25" fillId="0" borderId="30" applyAlignment="1" pivotButton="0" quotePrefix="0" xfId="0">
      <alignment horizontal="center" vertical="top"/>
    </xf>
    <xf numFmtId="0" fontId="10" fillId="0" borderId="34" applyAlignment="1" pivotButton="0" quotePrefix="0" xfId="0">
      <alignment horizontal="center" vertical="top"/>
    </xf>
    <xf numFmtId="165" fontId="27" fillId="0" borderId="28" applyAlignment="1" pivotButton="0" quotePrefix="0" xfId="0">
      <alignment horizontal="center" vertical="top"/>
    </xf>
    <xf numFmtId="0" fontId="20" fillId="0" borderId="3" applyAlignment="1" pivotButton="0" quotePrefix="0" xfId="3">
      <alignment horizontal="right" vertical="center" wrapText="1"/>
    </xf>
    <xf numFmtId="167" fontId="20" fillId="0" borderId="4" applyAlignment="1" pivotButton="0" quotePrefix="0" xfId="1">
      <alignment horizontal="center" vertical="center"/>
    </xf>
    <xf numFmtId="167" fontId="14" fillId="0" borderId="4" applyAlignment="1" pivotButton="0" quotePrefix="0" xfId="3">
      <alignment vertical="center" wrapText="1"/>
    </xf>
    <xf numFmtId="0" fontId="15" fillId="0" borderId="0" applyAlignment="1" pivotButton="0" quotePrefix="0" xfId="3">
      <alignment vertical="center"/>
    </xf>
    <xf numFmtId="167" fontId="21" fillId="0" borderId="0" applyAlignment="1" pivotButton="0" quotePrefix="0" xfId="4">
      <alignment horizontal="right" vertical="center"/>
    </xf>
    <xf numFmtId="166" fontId="14" fillId="0" borderId="0" applyAlignment="1" pivotButton="0" quotePrefix="0" xfId="4">
      <alignment horizontal="right" vertical="top"/>
    </xf>
    <xf numFmtId="167" fontId="20" fillId="0" borderId="5" applyAlignment="1" pivotButton="0" quotePrefix="0" xfId="1">
      <alignment horizontal="center" vertical="center"/>
    </xf>
    <xf numFmtId="14" fontId="14" fillId="0" borderId="3" applyAlignment="1" pivotButton="0" quotePrefix="0" xfId="4">
      <alignment horizontal="center" vertical="center"/>
    </xf>
    <xf numFmtId="14" fontId="14" fillId="0" borderId="3" applyAlignment="1" pivotButton="0" quotePrefix="0" xfId="1">
      <alignment horizontal="center" vertical="center"/>
    </xf>
    <xf numFmtId="0" fontId="23" fillId="0" borderId="3" applyAlignment="1" pivotButton="0" quotePrefix="0" xfId="4">
      <alignment horizontal="center" vertical="center"/>
    </xf>
    <xf numFmtId="167" fontId="14" fillId="0" borderId="48" applyAlignment="1" pivotButton="0" quotePrefix="0" xfId="1">
      <alignment horizontal="center" vertical="center"/>
    </xf>
    <xf numFmtId="167" fontId="19" fillId="0" borderId="48" applyAlignment="1" pivotButton="0" quotePrefix="0" xfId="1">
      <alignment horizontal="center" vertical="center"/>
    </xf>
    <xf numFmtId="0" fontId="14" fillId="0" borderId="19" applyAlignment="1" pivotButton="0" quotePrefix="0" xfId="3">
      <alignment horizontal="center" vertical="center" wrapText="1"/>
    </xf>
    <xf numFmtId="0" fontId="14" fillId="0" borderId="24" applyAlignment="1" pivotButton="0" quotePrefix="0" xfId="3">
      <alignment horizontal="center" vertical="center" wrapText="1"/>
    </xf>
    <xf numFmtId="0" fontId="14" fillId="0" borderId="18" applyAlignment="1" pivotButton="0" quotePrefix="0" xfId="4">
      <alignment horizontal="center" vertical="center" wrapText="1"/>
    </xf>
    <xf numFmtId="0" fontId="14" fillId="0" borderId="25" applyAlignment="1" pivotButton="0" quotePrefix="0" xfId="4">
      <alignment horizontal="center" vertical="center" wrapText="1"/>
    </xf>
    <xf numFmtId="167" fontId="14" fillId="0" borderId="17" applyAlignment="1" pivotButton="0" quotePrefix="0" xfId="4">
      <alignment horizontal="center" vertical="center" wrapText="1"/>
    </xf>
    <xf numFmtId="168" fontId="14" fillId="0" borderId="18" applyAlignment="1" pivotButton="0" quotePrefix="0" xfId="4">
      <alignment horizontal="center" vertical="center" wrapText="1"/>
    </xf>
    <xf numFmtId="167" fontId="17" fillId="0" borderId="19" applyAlignment="1" pivotButton="0" quotePrefix="0" xfId="4">
      <alignment horizontal="center" vertical="center" wrapText="1"/>
    </xf>
    <xf numFmtId="167" fontId="17" fillId="0" borderId="47" applyAlignment="1" pivotButton="0" quotePrefix="0" xfId="4">
      <alignment horizontal="center" vertical="center" wrapText="1"/>
    </xf>
    <xf numFmtId="167" fontId="17" fillId="0" borderId="24" applyAlignment="1" pivotButton="0" quotePrefix="0" xfId="4">
      <alignment horizontal="center" vertical="center" wrapText="1"/>
    </xf>
    <xf numFmtId="14" fontId="30" fillId="0" borderId="1" pivotButton="0" quotePrefix="0" xfId="2"/>
    <xf numFmtId="167" fontId="14" fillId="0" borderId="21" applyAlignment="1" pivotButton="0" quotePrefix="0" xfId="1">
      <alignment horizontal="center" vertical="center"/>
    </xf>
    <xf numFmtId="165" fontId="33" fillId="0" borderId="13" applyAlignment="1" pivotButton="0" quotePrefix="0" xfId="0">
      <alignment horizontal="center" vertical="top"/>
    </xf>
    <xf numFmtId="0" fontId="14" fillId="3" borderId="4" applyAlignment="1" pivotButton="0" quotePrefix="0" xfId="3">
      <alignment horizontal="right" vertical="top"/>
    </xf>
    <xf numFmtId="0" fontId="14" fillId="4" borderId="4" applyAlignment="1" pivotButton="0" quotePrefix="0" xfId="3">
      <alignment horizontal="right" vertical="top"/>
    </xf>
    <xf numFmtId="166" fontId="14" fillId="5" borderId="2" applyAlignment="1" pivotButton="0" quotePrefix="0" xfId="4">
      <alignment horizontal="right" vertical="top"/>
    </xf>
    <xf numFmtId="166" fontId="14" fillId="5" borderId="5" applyAlignment="1" pivotButton="0" quotePrefix="0" xfId="4">
      <alignment horizontal="right" vertical="top"/>
    </xf>
    <xf numFmtId="167" fontId="14" fillId="5" borderId="43" applyAlignment="1" pivotButton="0" quotePrefix="0" xfId="4">
      <alignment horizontal="center" vertical="top"/>
    </xf>
    <xf numFmtId="166" fontId="14" fillId="5" borderId="45" applyAlignment="1" pivotButton="0" quotePrefix="0" xfId="4">
      <alignment horizontal="right" vertical="top"/>
    </xf>
    <xf numFmtId="167" fontId="20" fillId="5" borderId="10" applyAlignment="1" pivotButton="0" quotePrefix="0" xfId="4">
      <alignment horizontal="center" vertical="center"/>
    </xf>
    <xf numFmtId="0" fontId="14" fillId="0" borderId="42" applyAlignment="1" pivotButton="0" quotePrefix="0" xfId="3">
      <alignment horizontal="right" vertical="center" wrapText="1"/>
    </xf>
    <xf numFmtId="0" fontId="11" fillId="0" borderId="1" applyAlignment="1" pivotButton="0" quotePrefix="0" xfId="2">
      <alignment horizontal="right"/>
    </xf>
    <xf numFmtId="0" fontId="15" fillId="0" borderId="0" applyAlignment="1" pivotButton="0" quotePrefix="0" xfId="3">
      <alignment horizontal="right" vertical="top" wrapText="1"/>
    </xf>
    <xf numFmtId="0" fontId="15" fillId="0" borderId="0" applyAlignment="1" pivotButton="0" quotePrefix="0" xfId="3">
      <alignment horizontal="right" vertical="top"/>
    </xf>
    <xf numFmtId="0" fontId="14" fillId="0" borderId="46" applyAlignment="1" pivotButton="0" quotePrefix="0" xfId="3">
      <alignment horizontal="right" vertical="center" wrapText="1"/>
    </xf>
    <xf numFmtId="167" fontId="20" fillId="4" borderId="48" applyAlignment="1" pivotButton="0" quotePrefix="0" xfId="1">
      <alignment horizontal="center" vertical="center"/>
    </xf>
    <xf numFmtId="167" fontId="20" fillId="3" borderId="4" applyAlignment="1" pivotButton="0" quotePrefix="0" xfId="1">
      <alignment horizontal="center" vertical="center"/>
    </xf>
    <xf numFmtId="167" fontId="15" fillId="0" borderId="0" applyAlignment="1" pivotButton="0" quotePrefix="0" xfId="3">
      <alignment vertical="top"/>
    </xf>
    <xf numFmtId="165" fontId="26" fillId="0" borderId="32" applyAlignment="1" pivotButton="0" quotePrefix="0" xfId="0">
      <alignment horizontal="center" vertical="top"/>
    </xf>
    <xf numFmtId="165" fontId="32" fillId="0" borderId="18" applyAlignment="1" pivotButton="0" quotePrefix="0" xfId="0">
      <alignment horizontal="center"/>
    </xf>
    <xf numFmtId="49" fontId="26" fillId="0" borderId="32" applyAlignment="1" pivotButton="0" quotePrefix="0" xfId="0">
      <alignment horizontal="center" vertical="top"/>
    </xf>
    <xf numFmtId="0" fontId="14" fillId="6" borderId="4" applyAlignment="1" pivotButton="0" quotePrefix="0" xfId="3">
      <alignment horizontal="right" vertical="top"/>
    </xf>
    <xf numFmtId="167" fontId="14" fillId="5" borderId="43" applyAlignment="1" pivotButton="0" quotePrefix="0" xfId="4">
      <alignment horizontal="center" vertical="top"/>
    </xf>
    <xf numFmtId="167" fontId="14" fillId="0" borderId="21" applyAlignment="1" pivotButton="0" quotePrefix="0" xfId="1">
      <alignment horizontal="center" vertical="center"/>
    </xf>
    <xf numFmtId="167" fontId="14" fillId="0" borderId="4" applyAlignment="1" pivotButton="0" quotePrefix="0" xfId="1">
      <alignment horizontal="center" vertical="center"/>
    </xf>
    <xf numFmtId="14" fontId="14" fillId="0" borderId="44" applyAlignment="1" pivotButton="0" quotePrefix="0" xfId="4">
      <alignment horizontal="center" vertical="center"/>
    </xf>
    <xf numFmtId="14" fontId="14" fillId="0" borderId="44" applyAlignment="1" pivotButton="0" quotePrefix="0" xfId="1">
      <alignment horizontal="center" vertical="center"/>
    </xf>
    <xf numFmtId="167" fontId="20" fillId="4" borderId="4" applyAlignment="1" pivotButton="0" quotePrefix="0" xfId="1">
      <alignment horizontal="center" vertical="center"/>
    </xf>
    <xf numFmtId="0" fontId="14" fillId="0" borderId="4" applyAlignment="1" pivotButton="0" quotePrefix="0" xfId="3">
      <alignment horizontal="right" vertical="center" wrapText="1"/>
    </xf>
    <xf numFmtId="167" fontId="14" fillId="0" borderId="44" applyAlignment="1" pivotButton="0" quotePrefix="0" xfId="1">
      <alignment horizontal="center" vertical="center"/>
    </xf>
    <xf numFmtId="167" fontId="14" fillId="0" borderId="44" applyAlignment="1" pivotButton="0" quotePrefix="0" xfId="1">
      <alignment horizontal="center" vertical="center"/>
    </xf>
    <xf numFmtId="0" fontId="3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left"/>
    </xf>
    <xf numFmtId="169" fontId="10" fillId="0" borderId="26" applyAlignment="1" pivotButton="0" quotePrefix="0" xfId="0">
      <alignment horizontal="center" vertical="top"/>
    </xf>
    <xf numFmtId="169" fontId="10" fillId="0" borderId="29" applyAlignment="1" pivotButton="0" quotePrefix="0" xfId="0">
      <alignment horizontal="center" vertical="top"/>
    </xf>
    <xf numFmtId="169" fontId="26" fillId="0" borderId="30" applyAlignment="1" pivotButton="0" quotePrefix="0" xfId="0">
      <alignment horizontal="center" vertical="top"/>
    </xf>
    <xf numFmtId="169" fontId="10" fillId="0" borderId="33" applyAlignment="1" pivotButton="0" quotePrefix="0" xfId="0">
      <alignment horizontal="center" vertical="top"/>
    </xf>
    <xf numFmtId="169" fontId="10" fillId="0" borderId="30" applyAlignment="1" pivotButton="0" quotePrefix="0" xfId="0">
      <alignment horizontal="center" vertical="top"/>
    </xf>
    <xf numFmtId="169" fontId="10" fillId="0" borderId="34" applyAlignment="1" pivotButton="0" quotePrefix="0" xfId="0">
      <alignment horizontal="center"/>
    </xf>
    <xf numFmtId="169" fontId="10" fillId="0" borderId="37" applyAlignment="1" pivotButton="0" quotePrefix="0" xfId="0">
      <alignment horizontal="center"/>
    </xf>
    <xf numFmtId="169" fontId="31" fillId="0" borderId="33" applyAlignment="1" pivotButton="0" quotePrefix="0" xfId="0">
      <alignment horizontal="center" vertical="top"/>
    </xf>
    <xf numFmtId="167" fontId="14" fillId="0" borderId="5" applyAlignment="1" applyProtection="1" pivotButton="0" quotePrefix="0" xfId="5">
      <alignment horizontal="center" vertical="center" wrapText="1"/>
      <protection locked="0" hidden="0"/>
    </xf>
    <xf numFmtId="167" fontId="14" fillId="0" borderId="5" applyAlignment="1" pivotButton="0" quotePrefix="0" xfId="1">
      <alignment horizontal="center" vertical="center"/>
    </xf>
    <xf numFmtId="167" fontId="20" fillId="0" borderId="0" applyAlignment="1" pivotButton="0" quotePrefix="0" xfId="1">
      <alignment horizontal="right" vertical="top"/>
    </xf>
    <xf numFmtId="167" fontId="20" fillId="0" borderId="0" applyAlignment="1" pivotButton="0" quotePrefix="0" xfId="1">
      <alignment horizontal="right"/>
    </xf>
    <xf numFmtId="167" fontId="35" fillId="0" borderId="19" applyAlignment="1" pivotButton="0" quotePrefix="0" xfId="0">
      <alignment horizontal="center"/>
    </xf>
    <xf numFmtId="170" fontId="14" fillId="0" borderId="4" applyAlignment="1" applyProtection="1" pivotButton="0" quotePrefix="0" xfId="1">
      <alignment horizontal="center" vertical="center" wrapText="1"/>
      <protection locked="0" hidden="0"/>
    </xf>
    <xf numFmtId="170" fontId="14" fillId="0" borderId="4" applyAlignment="1" pivotButton="0" quotePrefix="0" xfId="1">
      <alignment horizontal="center" vertical="center"/>
    </xf>
    <xf numFmtId="170" fontId="14" fillId="0" borderId="4" applyAlignment="1" pivotButton="0" quotePrefix="0" xfId="1">
      <alignment horizontal="center" vertical="center"/>
    </xf>
    <xf numFmtId="165" fontId="27" fillId="0" borderId="0" applyAlignment="1" pivotButton="0" quotePrefix="0" xfId="0">
      <alignment horizontal="center" vertical="top"/>
    </xf>
    <xf numFmtId="171" fontId="27" fillId="0" borderId="28" applyAlignment="1" pivotButton="0" quotePrefix="0" xfId="0">
      <alignment horizontal="center" vertical="top"/>
    </xf>
    <xf numFmtId="169" fontId="0" fillId="0" borderId="0" pivotButton="0" quotePrefix="0" xfId="0"/>
    <xf numFmtId="0" fontId="36" fillId="0" borderId="4" applyAlignment="1" pivotButton="0" quotePrefix="0" xfId="3">
      <alignment horizontal="right" vertical="center" wrapText="1"/>
    </xf>
    <xf numFmtId="169" fontId="0" fillId="0" borderId="0" pivotButton="0" quotePrefix="0" xfId="9"/>
    <xf numFmtId="0" fontId="14" fillId="7" borderId="4" applyAlignment="1" pivotButton="0" quotePrefix="0" xfId="3">
      <alignment horizontal="center" vertical="center"/>
    </xf>
    <xf numFmtId="167" fontId="19" fillId="0" borderId="5" applyAlignment="1" pivotButton="0" quotePrefix="0" xfId="1">
      <alignment horizontal="center" vertical="center"/>
    </xf>
    <xf numFmtId="170" fontId="14" fillId="7" borderId="49" applyAlignment="1" applyProtection="1" pivotButton="0" quotePrefix="0" xfId="1">
      <alignment horizontal="center" vertical="center" wrapText="1"/>
      <protection locked="0" hidden="0"/>
    </xf>
    <xf numFmtId="0" fontId="14" fillId="7" borderId="51" applyAlignment="1" applyProtection="1" pivotButton="0" quotePrefix="0" xfId="5">
      <alignment horizontal="left" vertical="center" wrapText="1" indent="1"/>
      <protection locked="0" hidden="0"/>
    </xf>
    <xf numFmtId="167" fontId="14" fillId="7" borderId="49" applyAlignment="1" pivotButton="0" quotePrefix="0" xfId="1">
      <alignment horizontal="center" vertical="center"/>
    </xf>
    <xf numFmtId="14" fontId="14" fillId="7" borderId="50" applyAlignment="1" pivotButton="0" quotePrefix="0" xfId="4">
      <alignment horizontal="center" vertical="center"/>
    </xf>
    <xf numFmtId="0" fontId="36" fillId="7" borderId="4" applyAlignment="1" pivotButton="0" quotePrefix="0" xfId="3">
      <alignment horizontal="right" vertical="center" wrapText="1"/>
    </xf>
    <xf numFmtId="167" fontId="20" fillId="7" borderId="4" applyAlignment="1" pivotButton="0" quotePrefix="0" xfId="1">
      <alignment horizontal="center" vertical="center"/>
    </xf>
    <xf numFmtId="167" fontId="20" fillId="0" borderId="4" applyAlignment="1" pivotButton="0" quotePrefix="0" xfId="1">
      <alignment horizontal="center" vertical="center"/>
    </xf>
    <xf numFmtId="167" fontId="20" fillId="8" borderId="4" applyAlignment="1" pivotButton="0" quotePrefix="0" xfId="3">
      <alignment horizontal="right" vertical="center" wrapText="1"/>
    </xf>
    <xf numFmtId="0" fontId="14" fillId="0" borderId="4" applyAlignment="1" pivotButton="0" quotePrefix="0" xfId="3">
      <alignment horizontal="center" vertical="center" wrapText="1"/>
    </xf>
    <xf numFmtId="167" fontId="14" fillId="0" borderId="42" applyAlignment="1" pivotButton="0" quotePrefix="0" xfId="3">
      <alignment horizontal="right" vertical="center" wrapText="1"/>
    </xf>
    <xf numFmtId="167" fontId="37" fillId="0" borderId="0" applyAlignment="1" pivotButton="0" quotePrefix="0" xfId="4">
      <alignment horizontal="center"/>
    </xf>
    <xf numFmtId="167" fontId="15" fillId="0" borderId="0" applyAlignment="1" pivotButton="0" quotePrefix="0" xfId="3">
      <alignment horizontal="right" vertical="top" wrapText="1"/>
    </xf>
    <xf numFmtId="167" fontId="20" fillId="3" borderId="17" applyAlignment="1" pivotButton="0" quotePrefix="0" xfId="1">
      <alignment horizontal="center"/>
    </xf>
    <xf numFmtId="167" fontId="14" fillId="0" borderId="0" applyAlignment="1" pivotButton="0" quotePrefix="0" xfId="3">
      <alignment horizontal="right" wrapText="1"/>
    </xf>
    <xf numFmtId="167" fontId="14" fillId="0" borderId="0" pivotButton="0" quotePrefix="0" xfId="3"/>
    <xf numFmtId="167" fontId="38" fillId="8" borderId="17" applyAlignment="1" pivotButton="0" quotePrefix="0" xfId="3">
      <alignment horizontal="right" vertical="top" wrapText="1"/>
    </xf>
    <xf numFmtId="167" fontId="39" fillId="6" borderId="48" applyAlignment="1" pivotButton="0" quotePrefix="0" xfId="1">
      <alignment horizontal="center" vertical="center"/>
    </xf>
    <xf numFmtId="167" fontId="14" fillId="0" borderId="42" applyAlignment="1" pivotButton="0" quotePrefix="0" xfId="1">
      <alignment horizontal="center" vertical="center"/>
    </xf>
    <xf numFmtId="165" fontId="32" fillId="0" borderId="11" pivotButton="0" quotePrefix="0" xfId="0"/>
    <xf numFmtId="165" fontId="32" fillId="0" borderId="12" pivotButton="0" quotePrefix="0" xfId="0"/>
    <xf numFmtId="165" fontId="32" fillId="0" borderId="13" pivotButton="0" quotePrefix="0" xfId="0"/>
    <xf numFmtId="165" fontId="32" fillId="0" borderId="9" pivotButton="0" quotePrefix="0" xfId="0"/>
    <xf numFmtId="165" fontId="32" fillId="0" borderId="10" pivotButton="0" quotePrefix="0" xfId="0"/>
    <xf numFmtId="170" fontId="14" fillId="0" borderId="4" applyAlignment="1" applyProtection="1" pivotButton="0" quotePrefix="0" xfId="1">
      <alignment horizontal="center" vertical="center" wrapText="1"/>
      <protection locked="0" hidden="0"/>
    </xf>
    <xf numFmtId="167" fontId="14" fillId="0" borderId="4" applyAlignment="1" applyProtection="1" pivotButton="0" quotePrefix="0" xfId="5">
      <alignment horizontal="center" vertical="center" wrapText="1"/>
      <protection locked="0" hidden="0"/>
    </xf>
    <xf numFmtId="167" fontId="14" fillId="0" borderId="44" applyAlignment="1" pivotButton="0" quotePrefix="0" xfId="4">
      <alignment horizontal="center" vertical="center"/>
    </xf>
    <xf numFmtId="14" fontId="14" fillId="0" borderId="44" applyAlignment="1" pivotButton="0" quotePrefix="0" xfId="4">
      <alignment horizontal="center" vertical="center"/>
    </xf>
    <xf numFmtId="165" fontId="32" fillId="0" borderId="14" pivotButton="0" quotePrefix="0" xfId="0"/>
    <xf numFmtId="165" fontId="34" fillId="0" borderId="14" pivotButton="0" quotePrefix="0" xfId="0"/>
    <xf numFmtId="14" fontId="14" fillId="0" borderId="44" applyAlignment="1" pivotButton="0" quotePrefix="0" xfId="1">
      <alignment horizontal="center" vertical="center"/>
    </xf>
    <xf numFmtId="165" fontId="34" fillId="0" borderId="13" pivotButton="0" quotePrefix="0" xfId="0"/>
    <xf numFmtId="168" fontId="15" fillId="0" borderId="4" applyAlignment="1" pivotButton="0" quotePrefix="0" xfId="4">
      <alignment horizontal="center" vertical="top"/>
    </xf>
    <xf numFmtId="0" fontId="3" fillId="0" borderId="0" applyAlignment="1" pivotButton="0" quotePrefix="0" xfId="0">
      <alignment vertical="top"/>
    </xf>
    <xf numFmtId="0" fontId="3" fillId="0" borderId="0" applyAlignment="1" pivotButton="0" quotePrefix="0" xfId="0">
      <alignment wrapText="1"/>
    </xf>
    <xf numFmtId="0" fontId="9" fillId="0" borderId="0" pivotButton="0" quotePrefix="0" xfId="0"/>
    <xf numFmtId="164" fontId="9" fillId="0" borderId="0" pivotButton="0" quotePrefix="0" xfId="0"/>
    <xf numFmtId="0" fontId="9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right" wrapText="1"/>
    </xf>
    <xf numFmtId="14" fontId="9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left"/>
    </xf>
    <xf numFmtId="0" fontId="9" fillId="0" borderId="0" applyAlignment="1" pivotButton="0" quotePrefix="0" xfId="0">
      <alignment vertical="top"/>
    </xf>
    <xf numFmtId="0" fontId="9" fillId="0" borderId="0" applyAlignment="1" pivotButton="0" quotePrefix="0" xfId="0">
      <alignment horizontal="left" wrapText="1"/>
    </xf>
    <xf numFmtId="0" fontId="70" fillId="0" borderId="0" applyAlignment="1" pivotButton="0" quotePrefix="0" xfId="0">
      <alignment vertical="top"/>
    </xf>
    <xf numFmtId="0" fontId="3" fillId="0" borderId="1" applyAlignment="1" pivotButton="0" quotePrefix="0" xfId="0">
      <alignment wrapText="1"/>
    </xf>
    <xf numFmtId="0" fontId="9" fillId="0" borderId="0" applyAlignment="1" pivotButton="0" quotePrefix="0" xfId="0">
      <alignment horizontal="center"/>
    </xf>
    <xf numFmtId="164" fontId="9" fillId="0" borderId="0" applyAlignment="1" pivotButton="0" quotePrefix="0" xfId="0">
      <alignment horizontal="center"/>
    </xf>
    <xf numFmtId="0" fontId="71" fillId="2" borderId="18" applyAlignment="1" pivotButton="0" quotePrefix="0" xfId="0">
      <alignment horizontal="center" vertical="top"/>
    </xf>
    <xf numFmtId="0" fontId="71" fillId="2" borderId="18" applyAlignment="1" pivotButton="0" quotePrefix="0" xfId="0">
      <alignment horizontal="center"/>
    </xf>
    <xf numFmtId="164" fontId="71" fillId="2" borderId="19" applyAlignment="1" pivotButton="0" quotePrefix="0" xfId="0">
      <alignment horizontal="center"/>
    </xf>
    <xf numFmtId="0" fontId="72" fillId="0" borderId="26" applyAlignment="1" pivotButton="0" quotePrefix="0" xfId="0">
      <alignment horizontal="center" vertical="top"/>
    </xf>
    <xf numFmtId="0" fontId="9" fillId="0" borderId="27" applyAlignment="1" pivotButton="0" quotePrefix="0" xfId="0">
      <alignment vertical="top" wrapText="1"/>
    </xf>
    <xf numFmtId="165" fontId="3" fillId="0" borderId="28" applyAlignment="1" pivotButton="0" quotePrefix="0" xfId="0">
      <alignment horizontal="center" vertical="top"/>
    </xf>
    <xf numFmtId="169" fontId="9" fillId="0" borderId="26" applyAlignment="1" pivotButton="0" quotePrefix="0" xfId="0">
      <alignment horizontal="center" vertical="top"/>
    </xf>
    <xf numFmtId="169" fontId="73" fillId="0" borderId="33" applyAlignment="1" pivotButton="0" quotePrefix="0" xfId="0">
      <alignment horizontal="center" vertical="top"/>
    </xf>
    <xf numFmtId="0" fontId="9" fillId="0" borderId="30" applyAlignment="1" pivotButton="0" quotePrefix="0" xfId="0">
      <alignment horizontal="center" vertical="top"/>
    </xf>
    <xf numFmtId="0" fontId="9" fillId="0" borderId="31" applyAlignment="1" pivotButton="0" quotePrefix="0" xfId="0">
      <alignment vertical="top" wrapText="1"/>
    </xf>
    <xf numFmtId="49" fontId="72" fillId="0" borderId="32" applyAlignment="1" pivotButton="0" quotePrefix="0" xfId="0">
      <alignment horizontal="center" vertical="top"/>
    </xf>
    <xf numFmtId="165" fontId="72" fillId="0" borderId="32" applyAlignment="1" pivotButton="0" quotePrefix="0" xfId="0">
      <alignment horizontal="center" vertical="top"/>
    </xf>
    <xf numFmtId="169" fontId="72" fillId="0" borderId="30" applyAlignment="1" pivotButton="0" quotePrefix="0" xfId="0">
      <alignment horizontal="center" vertical="top"/>
    </xf>
    <xf numFmtId="165" fontId="9" fillId="0" borderId="32" applyAlignment="1" pivotButton="0" quotePrefix="0" xfId="0">
      <alignment horizontal="center" vertical="top"/>
    </xf>
    <xf numFmtId="0" fontId="72" fillId="0" borderId="30" applyAlignment="1" pivotButton="0" quotePrefix="0" xfId="0">
      <alignment horizontal="center" vertical="top"/>
    </xf>
    <xf numFmtId="165" fontId="73" fillId="0" borderId="32" applyAlignment="1" pivotButton="0" quotePrefix="0" xfId="0">
      <alignment horizontal="center" vertical="top"/>
    </xf>
    <xf numFmtId="0" fontId="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right" wrapText="1"/>
    </xf>
    <xf numFmtId="165" fontId="72" fillId="0" borderId="18" applyAlignment="1" pivotButton="0" quotePrefix="0" xfId="0">
      <alignment horizontal="center"/>
    </xf>
    <xf numFmtId="167" fontId="73" fillId="0" borderId="19" applyAlignment="1" pivotButton="0" quotePrefix="0" xfId="0">
      <alignment horizontal="center"/>
    </xf>
    <xf numFmtId="0" fontId="9" fillId="0" borderId="0" applyAlignment="1" pivotButton="0" quotePrefix="0" xfId="0">
      <alignment wrapText="1"/>
    </xf>
    <xf numFmtId="165" fontId="72" fillId="0" borderId="11" pivotButton="0" quotePrefix="0" xfId="0"/>
    <xf numFmtId="165" fontId="72" fillId="0" borderId="12" pivotButton="0" quotePrefix="0" xfId="0"/>
    <xf numFmtId="165" fontId="72" fillId="0" borderId="13" pivotButton="0" quotePrefix="0" xfId="0"/>
    <xf numFmtId="165" fontId="72" fillId="0" borderId="14" pivotButton="0" quotePrefix="0" xfId="0"/>
    <xf numFmtId="165" fontId="74" fillId="0" borderId="13" pivotButton="0" quotePrefix="0" xfId="0"/>
    <xf numFmtId="165" fontId="74" fillId="0" borderId="14" pivotButton="0" quotePrefix="0" xfId="0"/>
    <xf numFmtId="165" fontId="72" fillId="0" borderId="9" pivotButton="0" quotePrefix="0" xfId="0"/>
    <xf numFmtId="165" fontId="72" fillId="0" borderId="10" pivotButton="0" quotePrefix="0" xfId="0"/>
    <xf numFmtId="0" fontId="9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wrapText="1"/>
    </xf>
    <xf numFmtId="165" fontId="3" fillId="0" borderId="0" applyAlignment="1" pivotButton="0" quotePrefix="0" xfId="0">
      <alignment horizontal="center"/>
    </xf>
    <xf numFmtId="165" fontId="3" fillId="0" borderId="11" applyAlignment="1" pivotButton="0" quotePrefix="0" xfId="0">
      <alignment horizontal="left"/>
    </xf>
    <xf numFmtId="165" fontId="3" fillId="0" borderId="12" applyAlignment="1" pivotButton="0" quotePrefix="0" xfId="0">
      <alignment horizontal="left"/>
    </xf>
    <xf numFmtId="165" fontId="3" fillId="0" borderId="0" pivotButton="0" quotePrefix="0" xfId="0"/>
    <xf numFmtId="165" fontId="75" fillId="0" borderId="0" applyAlignment="1" pivotButton="0" quotePrefix="0" xfId="0">
      <alignment horizontal="center" vertical="center"/>
    </xf>
    <xf numFmtId="165" fontId="76" fillId="0" borderId="13" applyAlignment="1" pivotButton="0" quotePrefix="0" xfId="0">
      <alignment horizontal="center" vertical="top"/>
    </xf>
    <xf numFmtId="165" fontId="75" fillId="0" borderId="14" applyAlignment="1" pivotButton="0" quotePrefix="0" xfId="0">
      <alignment horizontal="center" vertical="center"/>
    </xf>
    <xf numFmtId="165" fontId="75" fillId="0" borderId="0" applyAlignment="1" pivotButton="0" quotePrefix="0" xfId="0">
      <alignment vertical="center"/>
    </xf>
    <xf numFmtId="165" fontId="9" fillId="0" borderId="13" applyAlignment="1" pivotButton="0" quotePrefix="0" xfId="0">
      <alignment horizontal="left"/>
    </xf>
    <xf numFmtId="165" fontId="9" fillId="0" borderId="14" applyAlignment="1" pivotButton="0" quotePrefix="0" xfId="0">
      <alignment horizontal="left"/>
    </xf>
    <xf numFmtId="165" fontId="3" fillId="0" borderId="13" applyAlignment="1" pivotButton="0" quotePrefix="0" xfId="0">
      <alignment horizontal="left"/>
    </xf>
    <xf numFmtId="165" fontId="3" fillId="0" borderId="14" applyAlignment="1" pivotButton="0" quotePrefix="0" xfId="0">
      <alignment horizontal="left"/>
    </xf>
    <xf numFmtId="165" fontId="9" fillId="0" borderId="0" applyAlignment="1" pivotButton="0" quotePrefix="0" xfId="0">
      <alignment horizontal="left"/>
    </xf>
    <xf numFmtId="0" fontId="9" fillId="0" borderId="13" pivotButton="0" quotePrefix="0" xfId="0"/>
    <xf numFmtId="0" fontId="9" fillId="0" borderId="14" pivotButton="0" quotePrefix="0" xfId="0"/>
    <xf numFmtId="165" fontId="9" fillId="0" borderId="0" applyAlignment="1" pivotButton="0" quotePrefix="0" xfId="0">
      <alignment horizontal="center"/>
    </xf>
    <xf numFmtId="165" fontId="9" fillId="0" borderId="9" applyAlignment="1" pivotButton="0" quotePrefix="0" xfId="0">
      <alignment horizontal="left"/>
    </xf>
    <xf numFmtId="165" fontId="9" fillId="0" borderId="10" applyAlignment="1" pivotButton="0" quotePrefix="0" xfId="0">
      <alignment horizontal="left"/>
    </xf>
    <xf numFmtId="164" fontId="3" fillId="0" borderId="0" pivotButton="0" quotePrefix="0" xfId="0"/>
    <xf numFmtId="165" fontId="9" fillId="0" borderId="26" applyAlignment="1" pivotButton="0" quotePrefix="0" xfId="0">
      <alignment horizontal="center" vertical="top"/>
    </xf>
    <xf numFmtId="164" fontId="9" fillId="0" borderId="29" applyAlignment="1" pivotButton="0" quotePrefix="0" xfId="0">
      <alignment horizontal="center" vertical="top"/>
    </xf>
    <xf numFmtId="165" fontId="72" fillId="0" borderId="30" applyAlignment="1" pivotButton="0" quotePrefix="0" xfId="0">
      <alignment horizontal="center" vertical="top"/>
    </xf>
    <xf numFmtId="0" fontId="9" fillId="0" borderId="34" applyAlignment="1" pivotButton="0" quotePrefix="0" xfId="0">
      <alignment horizontal="center" vertical="top"/>
    </xf>
    <xf numFmtId="0" fontId="9" fillId="0" borderId="35" applyAlignment="1" pivotButton="0" quotePrefix="0" xfId="0">
      <alignment wrapText="1"/>
    </xf>
    <xf numFmtId="49" fontId="9" fillId="0" borderId="36" applyAlignment="1" pivotButton="0" quotePrefix="0" xfId="0">
      <alignment horizontal="center"/>
    </xf>
    <xf numFmtId="165" fontId="9" fillId="0" borderId="36" applyAlignment="1" pivotButton="0" quotePrefix="0" xfId="0">
      <alignment horizontal="center"/>
    </xf>
    <xf numFmtId="165" fontId="9" fillId="0" borderId="37" applyAlignment="1" pivotButton="0" quotePrefix="0" xfId="0">
      <alignment horizontal="center"/>
    </xf>
    <xf numFmtId="165" fontId="9" fillId="0" borderId="34" applyAlignment="1" pivotButton="0" quotePrefix="0" xfId="0">
      <alignment horizontal="center"/>
    </xf>
    <xf numFmtId="164" fontId="9" fillId="0" borderId="37" applyAlignment="1" pivotButton="0" quotePrefix="0" xfId="0">
      <alignment horizontal="center"/>
    </xf>
    <xf numFmtId="167" fontId="72" fillId="0" borderId="19" applyAlignment="1" pivotButton="0" quotePrefix="0" xfId="0">
      <alignment horizontal="center"/>
    </xf>
    <xf numFmtId="169" fontId="9" fillId="0" borderId="29" applyAlignment="1" pivotButton="0" quotePrefix="0" xfId="0">
      <alignment horizontal="center" vertical="top"/>
    </xf>
    <xf numFmtId="169" fontId="9" fillId="0" borderId="33" applyAlignment="1" pivotButton="0" quotePrefix="0" xfId="0">
      <alignment horizontal="center" vertical="top"/>
    </xf>
    <xf numFmtId="49" fontId="9" fillId="0" borderId="32" applyAlignment="1" pivotButton="0" quotePrefix="0" xfId="0">
      <alignment horizontal="center" vertical="top"/>
    </xf>
    <xf numFmtId="169" fontId="9" fillId="0" borderId="30" applyAlignment="1" pivotButton="0" quotePrefix="0" xfId="0">
      <alignment horizontal="center" vertical="top"/>
    </xf>
    <xf numFmtId="169" fontId="9" fillId="0" borderId="34" applyAlignment="1" pivotButton="0" quotePrefix="0" xfId="0">
      <alignment horizontal="center"/>
    </xf>
    <xf numFmtId="169" fontId="9" fillId="0" borderId="37" applyAlignment="1" pivotButton="0" quotePrefix="0" xfId="0">
      <alignment horizontal="center"/>
    </xf>
    <xf numFmtId="167" fontId="14" fillId="0" borderId="20" applyAlignment="1" pivotButton="0" quotePrefix="0" xfId="4">
      <alignment horizontal="center" vertical="center"/>
    </xf>
    <xf numFmtId="0" fontId="15" fillId="3" borderId="42" applyAlignment="1" pivotButton="0" quotePrefix="0" xfId="3">
      <alignment vertical="top"/>
    </xf>
    <xf numFmtId="0" fontId="15" fillId="30" borderId="42" applyAlignment="1" pivotButton="0" quotePrefix="0" xfId="3">
      <alignment vertical="top"/>
    </xf>
    <xf numFmtId="0" fontId="15" fillId="7" borderId="46" applyAlignment="1" pivotButton="0" quotePrefix="0" xfId="3">
      <alignment vertical="top"/>
    </xf>
    <xf numFmtId="0" fontId="15" fillId="4" borderId="64" applyAlignment="1" pivotButton="0" quotePrefix="0" xfId="3">
      <alignment vertical="top"/>
    </xf>
    <xf numFmtId="0" fontId="40" fillId="0" borderId="4" applyAlignment="1" pivotButton="0" quotePrefix="0" xfId="3">
      <alignment horizontal="center" vertical="center"/>
    </xf>
    <xf numFmtId="0" fontId="20" fillId="0" borderId="19" applyAlignment="1" pivotButton="0" quotePrefix="0" xfId="3">
      <alignment horizontal="center" vertical="center" wrapText="1"/>
    </xf>
    <xf numFmtId="0" fontId="20" fillId="0" borderId="24" applyAlignment="1" pivotButton="0" quotePrefix="0" xfId="3">
      <alignment horizontal="center" vertical="center" wrapText="1"/>
    </xf>
    <xf numFmtId="0" fontId="20" fillId="0" borderId="24" applyAlignment="1" pivotButton="0" quotePrefix="0" xfId="4">
      <alignment horizontal="center" vertical="center" wrapText="1"/>
    </xf>
    <xf numFmtId="0" fontId="20" fillId="0" borderId="47" applyAlignment="1" pivotButton="0" quotePrefix="0" xfId="4">
      <alignment horizontal="center" vertical="center" wrapText="1"/>
    </xf>
    <xf numFmtId="168" fontId="20" fillId="0" borderId="47" applyAlignment="1" pivotButton="0" quotePrefix="0" xfId="4">
      <alignment horizontal="center" vertical="center" wrapText="1"/>
    </xf>
    <xf numFmtId="167" fontId="20" fillId="5" borderId="40" applyAlignment="1" pivotButton="0" quotePrefix="0" xfId="4">
      <alignment horizontal="center" vertical="top"/>
    </xf>
    <xf numFmtId="167" fontId="77" fillId="5" borderId="43" applyAlignment="1" pivotButton="0" quotePrefix="0" xfId="4">
      <alignment horizontal="center" vertical="top"/>
    </xf>
    <xf numFmtId="167" fontId="39" fillId="5" borderId="43" applyAlignment="1" pivotButton="0" quotePrefix="0" xfId="4">
      <alignment horizontal="center" vertical="top"/>
    </xf>
    <xf numFmtId="0" fontId="20" fillId="0" borderId="38" applyAlignment="1" pivotButton="0" quotePrefix="0" xfId="3">
      <alignment vertical="top"/>
    </xf>
    <xf numFmtId="0" fontId="20" fillId="0" borderId="39" applyAlignment="1" pivotButton="0" quotePrefix="0" xfId="3">
      <alignment vertical="top"/>
    </xf>
    <xf numFmtId="0" fontId="77" fillId="0" borderId="39" applyAlignment="1" pivotButton="0" quotePrefix="0" xfId="4">
      <alignment horizontal="right" vertical="top"/>
    </xf>
    <xf numFmtId="0" fontId="20" fillId="0" borderId="41" applyAlignment="1" pivotButton="0" quotePrefix="0" xfId="3">
      <alignment vertical="top"/>
    </xf>
    <xf numFmtId="0" fontId="20" fillId="0" borderId="42" applyAlignment="1" pivotButton="0" quotePrefix="0" xfId="3">
      <alignment vertical="top"/>
    </xf>
    <xf numFmtId="0" fontId="77" fillId="0" borderId="42" applyAlignment="1" pivotButton="0" quotePrefix="0" xfId="4">
      <alignment horizontal="right" vertical="top"/>
    </xf>
    <xf numFmtId="0" fontId="20" fillId="0" borderId="44" applyAlignment="1" pivotButton="0" quotePrefix="0" xfId="3">
      <alignment horizontal="right" vertical="top"/>
    </xf>
    <xf numFmtId="0" fontId="20" fillId="0" borderId="42" applyAlignment="1" pivotButton="0" quotePrefix="0" xfId="3">
      <alignment horizontal="right" vertical="top"/>
    </xf>
    <xf numFmtId="0" fontId="20" fillId="0" borderId="0" applyAlignment="1" pivotButton="0" quotePrefix="0" xfId="3">
      <alignment horizontal="right" vertical="center"/>
    </xf>
    <xf numFmtId="0" fontId="20" fillId="0" borderId="0" applyAlignment="1" pivotButton="0" quotePrefix="0" xfId="3">
      <alignment horizontal="left" vertical="center" wrapText="1"/>
    </xf>
    <xf numFmtId="0" fontId="20" fillId="0" borderId="0" applyAlignment="1" pivotButton="0" quotePrefix="0" xfId="3">
      <alignment vertical="center" wrapText="1"/>
    </xf>
    <xf numFmtId="169" fontId="0" fillId="0" borderId="0" pivotButton="0" quotePrefix="0" xfId="9"/>
    <xf numFmtId="0" fontId="27" fillId="0" borderId="31" applyAlignment="1" pivotButton="0" quotePrefix="0" xfId="0">
      <alignment vertical="top" wrapText="1"/>
    </xf>
    <xf numFmtId="0" fontId="78" fillId="0" borderId="51" applyAlignment="1" applyProtection="1" pivotButton="0" quotePrefix="0" xfId="5">
      <alignment horizontal="left" vertical="center" wrapText="1" indent="1"/>
      <protection locked="0" hidden="0"/>
    </xf>
    <xf numFmtId="0" fontId="78" fillId="0" borderId="41" applyAlignment="1" applyProtection="1" pivotButton="0" quotePrefix="0" xfId="5">
      <alignment horizontal="left" vertical="center" wrapText="1" indent="1"/>
      <protection locked="0" hidden="0"/>
    </xf>
    <xf numFmtId="0" fontId="78" fillId="0" borderId="3" applyAlignment="1" applyProtection="1" pivotButton="0" quotePrefix="0" xfId="5">
      <alignment horizontal="left" vertical="center" wrapText="1" indent="1"/>
      <protection locked="0" hidden="0"/>
    </xf>
    <xf numFmtId="0" fontId="79" fillId="0" borderId="20" applyAlignment="1" applyProtection="1" pivotButton="0" quotePrefix="0" xfId="5">
      <alignment horizontal="left" vertical="center" wrapText="1" indent="1"/>
      <protection locked="0" hidden="0"/>
    </xf>
    <xf numFmtId="0" fontId="79" fillId="0" borderId="3" applyAlignment="1" applyProtection="1" pivotButton="0" quotePrefix="0" xfId="5">
      <alignment horizontal="left" vertical="center" wrapText="1" indent="1"/>
      <protection locked="0" hidden="0"/>
    </xf>
    <xf numFmtId="0" fontId="3" fillId="0" borderId="27" applyAlignment="1" pivotButton="0" quotePrefix="0" xfId="0">
      <alignment vertical="top" wrapText="1"/>
    </xf>
    <xf numFmtId="0" fontId="72" fillId="0" borderId="65" applyAlignment="1" pivotButton="0" quotePrefix="0" xfId="0">
      <alignment horizontal="center" vertical="top"/>
    </xf>
    <xf numFmtId="0" fontId="3" fillId="0" borderId="66" applyAlignment="1" pivotButton="0" quotePrefix="0" xfId="0">
      <alignment vertical="top" wrapText="1"/>
    </xf>
    <xf numFmtId="165" fontId="3" fillId="0" borderId="67" applyAlignment="1" pivotButton="0" quotePrefix="0" xfId="0">
      <alignment horizontal="center" vertical="top"/>
    </xf>
    <xf numFmtId="165" fontId="9" fillId="0" borderId="65" applyAlignment="1" pivotButton="0" quotePrefix="0" xfId="0">
      <alignment horizontal="center" vertical="top"/>
    </xf>
    <xf numFmtId="164" fontId="9" fillId="0" borderId="68" applyAlignment="1" pivotButton="0" quotePrefix="0" xfId="0">
      <alignment horizontal="center" vertical="top"/>
    </xf>
    <xf numFmtId="0" fontId="3" fillId="0" borderId="31" applyAlignment="1" pivotButton="0" quotePrefix="0" xfId="0">
      <alignment vertical="top" wrapText="1"/>
    </xf>
    <xf numFmtId="169" fontId="9" fillId="0" borderId="65" applyAlignment="1" pivotButton="0" quotePrefix="0" xfId="0">
      <alignment horizontal="center" vertical="top"/>
    </xf>
    <xf numFmtId="169" fontId="9" fillId="0" borderId="68" applyAlignment="1" pivotButton="0" quotePrefix="0" xfId="0">
      <alignment horizontal="center" vertical="top"/>
    </xf>
    <xf numFmtId="0" fontId="9" fillId="0" borderId="66" applyAlignment="1" pivotButton="0" quotePrefix="0" xfId="0">
      <alignment vertical="top" wrapText="1"/>
    </xf>
    <xf numFmtId="165" fontId="76" fillId="0" borderId="69" applyAlignment="1" pivotButton="0" quotePrefix="0" xfId="0">
      <alignment horizontal="center" vertical="top"/>
    </xf>
    <xf numFmtId="172" fontId="14" fillId="0" borderId="20" applyAlignment="1" applyProtection="1" pivotButton="0" quotePrefix="0" xfId="5">
      <alignment horizontal="center" vertical="center" wrapText="1"/>
      <protection locked="0" hidden="0"/>
    </xf>
    <xf numFmtId="172" fontId="14" fillId="0" borderId="3" applyAlignment="1" applyProtection="1" pivotButton="0" quotePrefix="0" xfId="5">
      <alignment horizontal="center" vertical="center" wrapText="1"/>
      <protection locked="0" hidden="0"/>
    </xf>
    <xf numFmtId="165" fontId="74" fillId="0" borderId="7" applyAlignment="1" pivotButton="0" quotePrefix="0" xfId="0">
      <alignment horizontal="right"/>
    </xf>
    <xf numFmtId="165" fontId="74" fillId="0" borderId="8" applyAlignment="1" pivotButton="0" quotePrefix="0" xfId="0">
      <alignment horizontal="right"/>
    </xf>
    <xf numFmtId="165" fontId="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9" fillId="0" borderId="15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71" fillId="2" borderId="25" applyAlignment="1" pivotButton="0" quotePrefix="0" xfId="0">
      <alignment horizontal="center" wrapText="1"/>
    </xf>
    <xf numFmtId="0" fontId="71" fillId="2" borderId="16" applyAlignment="1" pivotButton="0" quotePrefix="0" xfId="0">
      <alignment horizontal="center" wrapText="1"/>
    </xf>
    <xf numFmtId="0" fontId="71" fillId="2" borderId="8" applyAlignment="1" pivotButton="0" quotePrefix="0" xfId="0">
      <alignment horizontal="center" wrapText="1"/>
    </xf>
    <xf numFmtId="165" fontId="34" fillId="0" borderId="7" applyAlignment="1" pivotButton="0" quotePrefix="0" xfId="0">
      <alignment horizontal="right"/>
    </xf>
    <xf numFmtId="165" fontId="34" fillId="0" borderId="8" applyAlignment="1" pivotButton="0" quotePrefix="0" xfId="0">
      <alignment horizontal="right"/>
    </xf>
    <xf numFmtId="165" fontId="7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5" fillId="0" borderId="15" applyAlignment="1" pivotButton="0" quotePrefix="0" xfId="0">
      <alignment horizontal="center"/>
    </xf>
    <xf numFmtId="0" fontId="29" fillId="2" borderId="25" applyAlignment="1" pivotButton="0" quotePrefix="0" xfId="0">
      <alignment horizontal="center" wrapText="1"/>
    </xf>
    <xf numFmtId="0" fontId="29" fillId="2" borderId="16" applyAlignment="1" pivotButton="0" quotePrefix="0" xfId="0">
      <alignment horizontal="center" wrapText="1"/>
    </xf>
    <xf numFmtId="0" fontId="29" fillId="2" borderId="8" applyAlignment="1" pivotButton="0" quotePrefix="0" xfId="0">
      <alignment horizontal="center" wrapText="1"/>
    </xf>
    <xf numFmtId="164" fontId="9" fillId="0" borderId="0" pivotButton="0" quotePrefix="0" xfId="0"/>
    <xf numFmtId="164" fontId="3" fillId="0" borderId="0" applyAlignment="1" pivotButton="0" quotePrefix="0" xfId="0">
      <alignment horizontal="center"/>
    </xf>
    <xf numFmtId="164" fontId="9" fillId="0" borderId="0" applyAlignment="1" pivotButton="0" quotePrefix="0" xfId="0">
      <alignment horizontal="center"/>
    </xf>
    <xf numFmtId="0" fontId="71" fillId="2" borderId="19" applyAlignment="1" pivotButton="0" quotePrefix="0" xfId="0">
      <alignment horizontal="center" wrapText="1"/>
    </xf>
    <xf numFmtId="0" fontId="0" fillId="0" borderId="16" pivotButton="0" quotePrefix="0" xfId="0"/>
    <xf numFmtId="0" fontId="0" fillId="0" borderId="8" pivotButton="0" quotePrefix="0" xfId="0"/>
    <xf numFmtId="164" fontId="71" fillId="2" borderId="19" applyAlignment="1" pivotButton="0" quotePrefix="0" xfId="0">
      <alignment horizontal="center"/>
    </xf>
    <xf numFmtId="165" fontId="3" fillId="0" borderId="28" applyAlignment="1" pivotButton="0" quotePrefix="0" xfId="0">
      <alignment horizontal="center" vertical="top"/>
    </xf>
    <xf numFmtId="169" fontId="9" fillId="0" borderId="26" applyAlignment="1" pivotButton="0" quotePrefix="0" xfId="0">
      <alignment horizontal="center" vertical="top"/>
    </xf>
    <xf numFmtId="169" fontId="73" fillId="0" borderId="33" applyAlignment="1" pivotButton="0" quotePrefix="0" xfId="0">
      <alignment horizontal="center" vertical="top"/>
    </xf>
    <xf numFmtId="165" fontId="72" fillId="0" borderId="32" applyAlignment="1" pivotButton="0" quotePrefix="0" xfId="0">
      <alignment horizontal="center" vertical="top"/>
    </xf>
    <xf numFmtId="169" fontId="72" fillId="0" borderId="30" applyAlignment="1" pivotButton="0" quotePrefix="0" xfId="0">
      <alignment horizontal="center" vertical="top"/>
    </xf>
    <xf numFmtId="165" fontId="9" fillId="0" borderId="32" applyAlignment="1" pivotButton="0" quotePrefix="0" xfId="0">
      <alignment horizontal="center" vertical="top"/>
    </xf>
    <xf numFmtId="165" fontId="72" fillId="0" borderId="18" applyAlignment="1" pivotButton="0" quotePrefix="0" xfId="0">
      <alignment horizontal="center"/>
    </xf>
    <xf numFmtId="167" fontId="73" fillId="0" borderId="19" applyAlignment="1" pivotButton="0" quotePrefix="0" xfId="0">
      <alignment horizontal="center"/>
    </xf>
    <xf numFmtId="165" fontId="72" fillId="0" borderId="11" pivotButton="0" quotePrefix="0" xfId="0"/>
    <xf numFmtId="165" fontId="72" fillId="0" borderId="12" pivotButton="0" quotePrefix="0" xfId="0"/>
    <xf numFmtId="165" fontId="72" fillId="0" borderId="13" pivotButton="0" quotePrefix="0" xfId="0"/>
    <xf numFmtId="165" fontId="72" fillId="0" borderId="14" pivotButton="0" quotePrefix="0" xfId="0"/>
    <xf numFmtId="165" fontId="74" fillId="0" borderId="13" pivotButton="0" quotePrefix="0" xfId="0"/>
    <xf numFmtId="165" fontId="74" fillId="0" borderId="14" pivotButton="0" quotePrefix="0" xfId="0"/>
    <xf numFmtId="165" fontId="72" fillId="0" borderId="9" pivotButton="0" quotePrefix="0" xfId="0"/>
    <xf numFmtId="165" fontId="72" fillId="0" borderId="10" pivotButton="0" quotePrefix="0" xfId="0"/>
    <xf numFmtId="165" fontId="74" fillId="0" borderId="17" applyAlignment="1" pivotButton="0" quotePrefix="0" xfId="0">
      <alignment horizontal="right"/>
    </xf>
    <xf numFmtId="165" fontId="3" fillId="0" borderId="0" applyAlignment="1" pivotButton="0" quotePrefix="0" xfId="0">
      <alignment horizontal="left"/>
    </xf>
    <xf numFmtId="165" fontId="3" fillId="0" borderId="0" applyAlignment="1" pivotButton="0" quotePrefix="0" xfId="0">
      <alignment horizontal="center"/>
    </xf>
    <xf numFmtId="165" fontId="3" fillId="0" borderId="11" applyAlignment="1" pivotButton="0" quotePrefix="0" xfId="0">
      <alignment horizontal="left"/>
    </xf>
    <xf numFmtId="165" fontId="3" fillId="0" borderId="12" applyAlignment="1" pivotButton="0" quotePrefix="0" xfId="0">
      <alignment horizontal="left"/>
    </xf>
    <xf numFmtId="165" fontId="3" fillId="0" borderId="0" pivotButton="0" quotePrefix="0" xfId="0"/>
    <xf numFmtId="165" fontId="75" fillId="0" borderId="0" applyAlignment="1" pivotButton="0" quotePrefix="0" xfId="0">
      <alignment horizontal="center" vertical="center"/>
    </xf>
    <xf numFmtId="165" fontId="76" fillId="0" borderId="13" applyAlignment="1" pivotButton="0" quotePrefix="0" xfId="0">
      <alignment horizontal="center" vertical="top"/>
    </xf>
    <xf numFmtId="165" fontId="75" fillId="0" borderId="14" applyAlignment="1" pivotButton="0" quotePrefix="0" xfId="0">
      <alignment horizontal="center" vertical="center"/>
    </xf>
    <xf numFmtId="165" fontId="75" fillId="0" borderId="0" applyAlignment="1" pivotButton="0" quotePrefix="0" xfId="0">
      <alignment vertical="center"/>
    </xf>
    <xf numFmtId="165" fontId="9" fillId="0" borderId="13" applyAlignment="1" pivotButton="0" quotePrefix="0" xfId="0">
      <alignment horizontal="left"/>
    </xf>
    <xf numFmtId="165" fontId="9" fillId="0" borderId="14" applyAlignment="1" pivotButton="0" quotePrefix="0" xfId="0">
      <alignment horizontal="left"/>
    </xf>
    <xf numFmtId="165" fontId="3" fillId="0" borderId="13" applyAlignment="1" pivotButton="0" quotePrefix="0" xfId="0">
      <alignment horizontal="left"/>
    </xf>
    <xf numFmtId="165" fontId="3" fillId="0" borderId="14" applyAlignment="1" pivotButton="0" quotePrefix="0" xfId="0">
      <alignment horizontal="left"/>
    </xf>
    <xf numFmtId="165" fontId="9" fillId="0" borderId="0" applyAlignment="1" pivotButton="0" quotePrefix="0" xfId="0">
      <alignment horizontal="left"/>
    </xf>
    <xf numFmtId="0" fontId="0" fillId="0" borderId="15" pivotButton="0" quotePrefix="0" xfId="0"/>
    <xf numFmtId="165" fontId="9" fillId="0" borderId="0" applyAlignment="1" pivotButton="0" quotePrefix="0" xfId="0">
      <alignment horizontal="center"/>
    </xf>
    <xf numFmtId="165" fontId="9" fillId="0" borderId="9" applyAlignment="1" pivotButton="0" quotePrefix="0" xfId="0">
      <alignment horizontal="left"/>
    </xf>
    <xf numFmtId="165" fontId="9" fillId="0" borderId="10" applyAlignment="1" pivotButton="0" quotePrefix="0" xfId="0">
      <alignment horizontal="left"/>
    </xf>
    <xf numFmtId="164" fontId="3" fillId="0" borderId="0" pivotButton="0" quotePrefix="0" xfId="0"/>
    <xf numFmtId="165" fontId="9" fillId="0" borderId="26" applyAlignment="1" pivotButton="0" quotePrefix="0" xfId="0">
      <alignment horizontal="center" vertical="top"/>
    </xf>
    <xf numFmtId="164" fontId="9" fillId="0" borderId="29" applyAlignment="1" pivotButton="0" quotePrefix="0" xfId="0">
      <alignment horizontal="center" vertical="top"/>
    </xf>
    <xf numFmtId="165" fontId="3" fillId="0" borderId="67" applyAlignment="1" pivotButton="0" quotePrefix="0" xfId="0">
      <alignment horizontal="center" vertical="top"/>
    </xf>
    <xf numFmtId="165" fontId="9" fillId="0" borderId="65" applyAlignment="1" pivotButton="0" quotePrefix="0" xfId="0">
      <alignment horizontal="center" vertical="top"/>
    </xf>
    <xf numFmtId="164" fontId="9" fillId="0" borderId="68" applyAlignment="1" pivotButton="0" quotePrefix="0" xfId="0">
      <alignment horizontal="center" vertical="top"/>
    </xf>
    <xf numFmtId="165" fontId="72" fillId="0" borderId="30" applyAlignment="1" pivotButton="0" quotePrefix="0" xfId="0">
      <alignment horizontal="center" vertical="top"/>
    </xf>
    <xf numFmtId="165" fontId="9" fillId="0" borderId="36" applyAlignment="1" pivotButton="0" quotePrefix="0" xfId="0">
      <alignment horizontal="center"/>
    </xf>
    <xf numFmtId="165" fontId="9" fillId="0" borderId="37" applyAlignment="1" pivotButton="0" quotePrefix="0" xfId="0">
      <alignment horizontal="center"/>
    </xf>
    <xf numFmtId="165" fontId="9" fillId="0" borderId="34" applyAlignment="1" pivotButton="0" quotePrefix="0" xfId="0">
      <alignment horizontal="center"/>
    </xf>
    <xf numFmtId="164" fontId="9" fillId="0" borderId="37" applyAlignment="1" pivotButton="0" quotePrefix="0" xfId="0">
      <alignment horizontal="center"/>
    </xf>
    <xf numFmtId="167" fontId="72" fillId="0" borderId="19" applyAlignment="1" pivotButton="0" quotePrefix="0" xfId="0">
      <alignment horizontal="center"/>
    </xf>
    <xf numFmtId="169" fontId="9" fillId="0" borderId="29" applyAlignment="1" pivotButton="0" quotePrefix="0" xfId="0">
      <alignment horizontal="center" vertical="top"/>
    </xf>
    <xf numFmtId="169" fontId="9" fillId="0" borderId="33" applyAlignment="1" pivotButton="0" quotePrefix="0" xfId="0">
      <alignment horizontal="center" vertical="top"/>
    </xf>
    <xf numFmtId="169" fontId="9" fillId="0" borderId="30" applyAlignment="1" pivotButton="0" quotePrefix="0" xfId="0">
      <alignment horizontal="center" vertical="top"/>
    </xf>
    <xf numFmtId="169" fontId="9" fillId="0" borderId="34" applyAlignment="1" pivotButton="0" quotePrefix="0" xfId="0">
      <alignment horizontal="center"/>
    </xf>
    <xf numFmtId="169" fontId="9" fillId="0" borderId="37" applyAlignment="1" pivotButton="0" quotePrefix="0" xfId="0">
      <alignment horizontal="center"/>
    </xf>
    <xf numFmtId="169" fontId="9" fillId="0" borderId="65" applyAlignment="1" pivotButton="0" quotePrefix="0" xfId="0">
      <alignment horizontal="center" vertical="top"/>
    </xf>
    <xf numFmtId="169" fontId="9" fillId="0" borderId="68" applyAlignment="1" pivotButton="0" quotePrefix="0" xfId="0">
      <alignment horizontal="center" vertical="top"/>
    </xf>
    <xf numFmtId="165" fontId="76" fillId="0" borderId="69" applyAlignment="1" pivotButton="0" quotePrefix="0" xfId="0">
      <alignment horizontal="center" vertical="top"/>
    </xf>
    <xf numFmtId="164" fontId="0" fillId="0" borderId="0" pivotButton="0" quotePrefix="0" xfId="0"/>
    <xf numFmtId="164" fontId="10" fillId="0" borderId="0" pivotButton="0" quotePrefix="0" xfId="0"/>
    <xf numFmtId="164" fontId="10" fillId="0" borderId="0" applyAlignment="1" pivotButton="0" quotePrefix="0" xfId="0">
      <alignment horizontal="center"/>
    </xf>
    <xf numFmtId="0" fontId="29" fillId="2" borderId="19" applyAlignment="1" pivotButton="0" quotePrefix="0" xfId="0">
      <alignment horizontal="center" wrapText="1"/>
    </xf>
    <xf numFmtId="164" fontId="29" fillId="2" borderId="19" applyAlignment="1" pivotButton="0" quotePrefix="0" xfId="0">
      <alignment horizontal="center"/>
    </xf>
    <xf numFmtId="165" fontId="27" fillId="0" borderId="28" applyAlignment="1" pivotButton="0" quotePrefix="0" xfId="0">
      <alignment horizontal="center" vertical="top"/>
    </xf>
    <xf numFmtId="171" fontId="27" fillId="0" borderId="28" applyAlignment="1" pivotButton="0" quotePrefix="0" xfId="0">
      <alignment horizontal="center" vertical="top"/>
    </xf>
    <xf numFmtId="169" fontId="10" fillId="0" borderId="26" applyAlignment="1" pivotButton="0" quotePrefix="0" xfId="0">
      <alignment horizontal="center" vertical="top"/>
    </xf>
    <xf numFmtId="169" fontId="10" fillId="0" borderId="29" applyAlignment="1" pivotButton="0" quotePrefix="0" xfId="0">
      <alignment horizontal="center" vertical="top"/>
    </xf>
    <xf numFmtId="165" fontId="27" fillId="0" borderId="0" applyAlignment="1" pivotButton="0" quotePrefix="0" xfId="0">
      <alignment horizontal="center" vertical="top"/>
    </xf>
    <xf numFmtId="169" fontId="31" fillId="0" borderId="33" applyAlignment="1" pivotButton="0" quotePrefix="0" xfId="0">
      <alignment horizontal="center" vertical="top"/>
    </xf>
    <xf numFmtId="169" fontId="0" fillId="0" borderId="0" pivotButton="0" quotePrefix="0" xfId="9"/>
    <xf numFmtId="165" fontId="10" fillId="0" borderId="32" applyAlignment="1" pivotButton="0" quotePrefix="0" xfId="0">
      <alignment horizontal="center" vertical="top"/>
    </xf>
    <xf numFmtId="169" fontId="10" fillId="0" borderId="30" applyAlignment="1" pivotButton="0" quotePrefix="0" xfId="0">
      <alignment horizontal="center" vertical="top"/>
    </xf>
    <xf numFmtId="169" fontId="10" fillId="0" borderId="33" applyAlignment="1" pivotButton="0" quotePrefix="0" xfId="0">
      <alignment horizontal="center" vertical="top"/>
    </xf>
    <xf numFmtId="165" fontId="10" fillId="0" borderId="36" applyAlignment="1" pivotButton="0" quotePrefix="0" xfId="0">
      <alignment horizontal="center"/>
    </xf>
    <xf numFmtId="165" fontId="10" fillId="0" borderId="37" applyAlignment="1" pivotButton="0" quotePrefix="0" xfId="0">
      <alignment horizontal="center"/>
    </xf>
    <xf numFmtId="169" fontId="10" fillId="0" borderId="34" applyAlignment="1" pivotButton="0" quotePrefix="0" xfId="0">
      <alignment horizontal="center"/>
    </xf>
    <xf numFmtId="169" fontId="10" fillId="0" borderId="37" applyAlignment="1" pivotButton="0" quotePrefix="0" xfId="0">
      <alignment horizontal="center"/>
    </xf>
    <xf numFmtId="165" fontId="32" fillId="0" borderId="18" applyAlignment="1" pivotButton="0" quotePrefix="0" xfId="0">
      <alignment horizontal="center"/>
    </xf>
    <xf numFmtId="167" fontId="35" fillId="0" borderId="19" applyAlignment="1" pivotButton="0" quotePrefix="0" xfId="0">
      <alignment horizontal="center"/>
    </xf>
    <xf numFmtId="165" fontId="32" fillId="0" borderId="11" pivotButton="0" quotePrefix="0" xfId="0"/>
    <xf numFmtId="165" fontId="32" fillId="0" borderId="12" pivotButton="0" quotePrefix="0" xfId="0"/>
    <xf numFmtId="165" fontId="32" fillId="0" borderId="13" pivotButton="0" quotePrefix="0" xfId="0"/>
    <xf numFmtId="165" fontId="32" fillId="0" borderId="14" pivotButton="0" quotePrefix="0" xfId="0"/>
    <xf numFmtId="165" fontId="34" fillId="0" borderId="13" pivotButton="0" quotePrefix="0" xfId="0"/>
    <xf numFmtId="165" fontId="34" fillId="0" borderId="14" pivotButton="0" quotePrefix="0" xfId="0"/>
    <xf numFmtId="165" fontId="32" fillId="0" borderId="9" pivotButton="0" quotePrefix="0" xfId="0"/>
    <xf numFmtId="165" fontId="32" fillId="0" borderId="10" pivotButton="0" quotePrefix="0" xfId="0"/>
    <xf numFmtId="165" fontId="34" fillId="0" borderId="17" applyAlignment="1" pivotButton="0" quotePrefix="0" xfId="0">
      <alignment horizontal="right"/>
    </xf>
    <xf numFmtId="165" fontId="7" fillId="0" borderId="0" applyAlignment="1" pivotButton="0" quotePrefix="0" xfId="0">
      <alignment horizontal="left"/>
    </xf>
    <xf numFmtId="165" fontId="7" fillId="0" borderId="0" applyAlignment="1" pivotButton="0" quotePrefix="0" xfId="0">
      <alignment horizontal="center"/>
    </xf>
    <xf numFmtId="165" fontId="7" fillId="0" borderId="11" applyAlignment="1" pivotButton="0" quotePrefix="0" xfId="0">
      <alignment horizontal="left"/>
    </xf>
    <xf numFmtId="165" fontId="7" fillId="0" borderId="12" applyAlignment="1" pivotButton="0" quotePrefix="0" xfId="0">
      <alignment horizontal="left"/>
    </xf>
    <xf numFmtId="165" fontId="7" fillId="0" borderId="0" pivotButton="0" quotePrefix="0" xfId="0"/>
    <xf numFmtId="165" fontId="8" fillId="0" borderId="0" applyAlignment="1" pivotButton="0" quotePrefix="0" xfId="0">
      <alignment horizontal="center" vertical="center"/>
    </xf>
    <xf numFmtId="165" fontId="33" fillId="0" borderId="13" applyAlignment="1" pivotButton="0" quotePrefix="0" xfId="0">
      <alignment horizontal="center" vertical="top"/>
    </xf>
    <xf numFmtId="165" fontId="8" fillId="0" borderId="14" applyAlignment="1" pivotButton="0" quotePrefix="0" xfId="0">
      <alignment horizontal="center" vertical="center"/>
    </xf>
    <xf numFmtId="165" fontId="8" fillId="0" borderId="0" applyAlignment="1" pivotButton="0" quotePrefix="0" xfId="0">
      <alignment vertical="center"/>
    </xf>
    <xf numFmtId="165" fontId="5" fillId="0" borderId="13" applyAlignment="1" pivotButton="0" quotePrefix="0" xfId="0">
      <alignment horizontal="left"/>
    </xf>
    <xf numFmtId="165" fontId="5" fillId="0" borderId="14" applyAlignment="1" pivotButton="0" quotePrefix="0" xfId="0">
      <alignment horizontal="left"/>
    </xf>
    <xf numFmtId="165" fontId="7" fillId="0" borderId="13" applyAlignment="1" pivotButton="0" quotePrefix="0" xfId="0">
      <alignment horizontal="left"/>
    </xf>
    <xf numFmtId="165" fontId="7" fillId="0" borderId="14" applyAlignment="1" pivotButton="0" quotePrefix="0" xfId="0">
      <alignment horizontal="left"/>
    </xf>
    <xf numFmtId="165" fontId="5" fillId="0" borderId="0" applyAlignment="1" pivotButton="0" quotePrefix="0" xfId="0">
      <alignment horizontal="left"/>
    </xf>
    <xf numFmtId="165" fontId="5" fillId="0" borderId="0" applyAlignment="1" pivotButton="0" quotePrefix="0" xfId="0">
      <alignment horizontal="center"/>
    </xf>
    <xf numFmtId="165" fontId="5" fillId="0" borderId="9" applyAlignment="1" pivotButton="0" quotePrefix="0" xfId="0">
      <alignment horizontal="left"/>
    </xf>
    <xf numFmtId="165" fontId="5" fillId="0" borderId="10" applyAlignment="1" pivotButton="0" quotePrefix="0" xfId="0">
      <alignment horizontal="left"/>
    </xf>
    <xf numFmtId="164" fontId="5" fillId="0" borderId="0" applyAlignment="1" pivotButton="0" quotePrefix="0" xfId="0">
      <alignment horizontal="center"/>
    </xf>
    <xf numFmtId="164" fontId="5" fillId="0" borderId="0" pivotButton="0" quotePrefix="0" xfId="0"/>
    <xf numFmtId="164" fontId="7" fillId="0" borderId="0" pivotButton="0" quotePrefix="0" xfId="0"/>
    <xf numFmtId="165" fontId="26" fillId="0" borderId="32" applyAlignment="1" pivotButton="0" quotePrefix="0" xfId="0">
      <alignment horizontal="center" vertical="top"/>
    </xf>
    <xf numFmtId="169" fontId="26" fillId="0" borderId="30" applyAlignment="1" pivotButton="0" quotePrefix="0" xfId="0">
      <alignment horizontal="center" vertical="top"/>
    </xf>
    <xf numFmtId="169" fontId="0" fillId="0" borderId="0" pivotButton="0" quotePrefix="0" xfId="0"/>
    <xf numFmtId="165" fontId="73" fillId="0" borderId="32" applyAlignment="1" pivotButton="0" quotePrefix="0" xfId="0">
      <alignment horizontal="center" vertical="top"/>
    </xf>
    <xf numFmtId="167" fontId="24" fillId="0" borderId="0" applyAlignment="1" pivotButton="0" quotePrefix="0" xfId="4">
      <alignment horizontal="center" vertical="top"/>
    </xf>
    <xf numFmtId="168" fontId="15" fillId="0" borderId="0" applyAlignment="1" pivotButton="0" quotePrefix="0" xfId="4">
      <alignment horizontal="center" vertical="top"/>
    </xf>
    <xf numFmtId="167" fontId="18" fillId="0" borderId="0" applyAlignment="1" pivotButton="0" quotePrefix="0" xfId="4">
      <alignment horizontal="center" vertical="top"/>
    </xf>
    <xf numFmtId="166" fontId="13" fillId="0" borderId="1" applyAlignment="1" pivotButton="0" quotePrefix="0" xfId="2">
      <alignment vertical="center"/>
    </xf>
    <xf numFmtId="166" fontId="14" fillId="5" borderId="2" applyAlignment="1" pivotButton="0" quotePrefix="0" xfId="4">
      <alignment horizontal="right" vertical="top"/>
    </xf>
    <xf numFmtId="167" fontId="20" fillId="5" borderId="40" applyAlignment="1" pivotButton="0" quotePrefix="0" xfId="4">
      <alignment horizontal="center" vertical="top"/>
    </xf>
    <xf numFmtId="167" fontId="14" fillId="0" borderId="0" applyAlignment="1" pivotButton="0" quotePrefix="0" xfId="4">
      <alignment horizontal="center" vertical="top"/>
    </xf>
    <xf numFmtId="166" fontId="14" fillId="5" borderId="5" applyAlignment="1" pivotButton="0" quotePrefix="0" xfId="4">
      <alignment horizontal="right" vertical="top"/>
    </xf>
    <xf numFmtId="167" fontId="14" fillId="5" borderId="43" applyAlignment="1" pivotButton="0" quotePrefix="0" xfId="4">
      <alignment horizontal="center" vertical="top"/>
    </xf>
    <xf numFmtId="167" fontId="77" fillId="5" borderId="43" applyAlignment="1" pivotButton="0" quotePrefix="0" xfId="4">
      <alignment horizontal="center" vertical="top"/>
    </xf>
    <xf numFmtId="167" fontId="39" fillId="5" borderId="43" applyAlignment="1" pivotButton="0" quotePrefix="0" xfId="4">
      <alignment horizontal="center" vertical="top"/>
    </xf>
    <xf numFmtId="167" fontId="21" fillId="0" borderId="1" applyAlignment="1" pivotButton="0" quotePrefix="0" xfId="4">
      <alignment horizontal="right" vertical="center"/>
    </xf>
    <xf numFmtId="166" fontId="14" fillId="5" borderId="45" applyAlignment="1" pivotButton="0" quotePrefix="0" xfId="4">
      <alignment horizontal="right" vertical="top"/>
    </xf>
    <xf numFmtId="167" fontId="20" fillId="5" borderId="10" applyAlignment="1" pivotButton="0" quotePrefix="0" xfId="4">
      <alignment horizontal="center" vertical="center"/>
    </xf>
    <xf numFmtId="167" fontId="21" fillId="0" borderId="0" applyAlignment="1" pivotButton="0" quotePrefix="0" xfId="4">
      <alignment horizontal="right" vertical="center"/>
    </xf>
    <xf numFmtId="166" fontId="14" fillId="0" borderId="0" applyAlignment="1" pivotButton="0" quotePrefix="0" xfId="4">
      <alignment horizontal="right" vertical="top"/>
    </xf>
    <xf numFmtId="167" fontId="20" fillId="0" borderId="0" applyAlignment="1" pivotButton="0" quotePrefix="0" xfId="4">
      <alignment horizontal="center" vertical="center"/>
    </xf>
    <xf numFmtId="167" fontId="14" fillId="0" borderId="17" applyAlignment="1" pivotButton="0" quotePrefix="0" xfId="4">
      <alignment horizontal="center" vertical="center" wrapText="1"/>
    </xf>
    <xf numFmtId="168" fontId="14" fillId="0" borderId="18" applyAlignment="1" pivotButton="0" quotePrefix="0" xfId="4">
      <alignment horizontal="center" vertical="center" wrapText="1"/>
    </xf>
    <xf numFmtId="167" fontId="17" fillId="0" borderId="19" applyAlignment="1" pivotButton="0" quotePrefix="0" xfId="4">
      <alignment horizontal="center" vertical="center" wrapText="1"/>
    </xf>
    <xf numFmtId="167" fontId="17" fillId="0" borderId="47" applyAlignment="1" pivotButton="0" quotePrefix="0" xfId="4">
      <alignment horizontal="center" vertical="center" wrapText="1"/>
    </xf>
    <xf numFmtId="167" fontId="17" fillId="0" borderId="24" applyAlignment="1" pivotButton="0" quotePrefix="0" xfId="4">
      <alignment horizontal="center" vertical="center" wrapText="1"/>
    </xf>
    <xf numFmtId="172" fontId="14" fillId="0" borderId="20" applyAlignment="1" applyProtection="1" pivotButton="0" quotePrefix="0" xfId="5">
      <alignment horizontal="center" vertical="center" wrapText="1"/>
      <protection locked="0" hidden="0"/>
    </xf>
    <xf numFmtId="167" fontId="14" fillId="0" borderId="5" applyAlignment="1" applyProtection="1" pivotButton="0" quotePrefix="0" xfId="5">
      <alignment horizontal="center" vertical="center" wrapText="1"/>
      <protection locked="0" hidden="0"/>
    </xf>
    <xf numFmtId="167" fontId="14" fillId="0" borderId="48" applyAlignment="1" pivotButton="0" quotePrefix="0" xfId="1">
      <alignment horizontal="center" vertical="center"/>
    </xf>
    <xf numFmtId="167" fontId="14" fillId="0" borderId="20" applyAlignment="1" pivotButton="0" quotePrefix="0" xfId="4">
      <alignment horizontal="center" vertical="center"/>
    </xf>
    <xf numFmtId="167" fontId="14" fillId="0" borderId="21" applyAlignment="1" pivotButton="0" quotePrefix="0" xfId="1">
      <alignment horizontal="center" vertical="center"/>
    </xf>
    <xf numFmtId="167" fontId="17" fillId="0" borderId="22" applyAlignment="1" pivotButton="0" quotePrefix="0" xfId="4">
      <alignment horizontal="center" vertical="center"/>
    </xf>
    <xf numFmtId="167" fontId="17" fillId="0" borderId="5" applyAlignment="1" pivotButton="0" quotePrefix="0" xfId="4">
      <alignment horizontal="center" vertical="center"/>
    </xf>
    <xf numFmtId="172" fontId="14" fillId="0" borderId="3" applyAlignment="1" applyProtection="1" pivotButton="0" quotePrefix="0" xfId="5">
      <alignment horizontal="center" vertical="center" wrapText="1"/>
      <protection locked="0" hidden="0"/>
    </xf>
    <xf numFmtId="167" fontId="15" fillId="0" borderId="0" applyAlignment="1" pivotButton="0" quotePrefix="0" xfId="3">
      <alignment vertical="top"/>
    </xf>
    <xf numFmtId="167" fontId="14" fillId="0" borderId="5" applyAlignment="1" pivotButton="0" quotePrefix="0" xfId="1">
      <alignment horizontal="center" vertical="center"/>
    </xf>
    <xf numFmtId="167" fontId="19" fillId="0" borderId="5" applyAlignment="1" pivotButton="0" quotePrefix="0" xfId="1">
      <alignment horizontal="center" vertical="center"/>
    </xf>
    <xf numFmtId="167" fontId="19" fillId="0" borderId="48" applyAlignment="1" pivotButton="0" quotePrefix="0" xfId="1">
      <alignment horizontal="center" vertical="center"/>
    </xf>
    <xf numFmtId="167" fontId="14" fillId="0" borderId="42" applyAlignment="1" pivotButton="0" quotePrefix="0" xfId="1">
      <alignment horizontal="center" vertical="center"/>
    </xf>
    <xf numFmtId="167" fontId="14" fillId="0" borderId="4" applyAlignment="1" pivotButton="0" quotePrefix="0" xfId="1">
      <alignment horizontal="center" vertical="center"/>
    </xf>
    <xf numFmtId="167" fontId="14" fillId="0" borderId="5" applyAlignment="1" pivotButton="0" quotePrefix="0" xfId="4">
      <alignment horizontal="center" vertical="center"/>
    </xf>
    <xf numFmtId="167" fontId="20" fillId="0" borderId="5" applyAlignment="1" pivotButton="0" quotePrefix="0" xfId="1">
      <alignment horizontal="center" vertical="center"/>
    </xf>
    <xf numFmtId="167" fontId="39" fillId="6" borderId="48" applyAlignment="1" pivotButton="0" quotePrefix="0" xfId="1">
      <alignment horizontal="center" vertical="center"/>
    </xf>
    <xf numFmtId="167" fontId="20" fillId="4" borderId="48" applyAlignment="1" pivotButton="0" quotePrefix="0" xfId="1">
      <alignment horizontal="center" vertical="center"/>
    </xf>
    <xf numFmtId="167" fontId="20" fillId="3" borderId="4" applyAlignment="1" pivotButton="0" quotePrefix="0" xfId="1">
      <alignment horizontal="center" vertical="center"/>
    </xf>
    <xf numFmtId="167" fontId="20" fillId="0" borderId="4" applyAlignment="1" pivotButton="0" quotePrefix="0" xfId="1">
      <alignment horizontal="center" vertical="center"/>
    </xf>
    <xf numFmtId="167" fontId="17" fillId="0" borderId="6" applyAlignment="1" pivotButton="0" quotePrefix="0" xfId="4">
      <alignment horizontal="center" vertical="center"/>
    </xf>
    <xf numFmtId="167" fontId="14" fillId="0" borderId="42" applyAlignment="1" pivotButton="0" quotePrefix="0" xfId="3">
      <alignment horizontal="right" vertical="center" wrapText="1"/>
    </xf>
    <xf numFmtId="167" fontId="14" fillId="0" borderId="4" applyAlignment="1" pivotButton="0" quotePrefix="0" xfId="3">
      <alignment vertical="center" wrapText="1"/>
    </xf>
    <xf numFmtId="167" fontId="37" fillId="0" borderId="0" applyAlignment="1" pivotButton="0" quotePrefix="0" xfId="4">
      <alignment horizontal="center"/>
    </xf>
    <xf numFmtId="167" fontId="20" fillId="0" borderId="0" applyAlignment="1" pivotButton="0" quotePrefix="0" xfId="1">
      <alignment horizontal="right" vertical="top"/>
    </xf>
    <xf numFmtId="167" fontId="20" fillId="0" borderId="0" applyAlignment="1" pivotButton="0" quotePrefix="0" xfId="1">
      <alignment horizontal="right"/>
    </xf>
    <xf numFmtId="167" fontId="20" fillId="0" borderId="0" applyAlignment="1" pivotButton="0" quotePrefix="0" xfId="1">
      <alignment horizontal="center" vertical="top"/>
    </xf>
    <xf numFmtId="167" fontId="17" fillId="0" borderId="0" applyAlignment="1" pivotButton="0" quotePrefix="0" xfId="4">
      <alignment horizontal="center" vertical="top"/>
    </xf>
    <xf numFmtId="167" fontId="14" fillId="0" borderId="0" applyAlignment="1" pivotButton="0" quotePrefix="0" xfId="3">
      <alignment horizontal="right" wrapText="1"/>
    </xf>
    <xf numFmtId="167" fontId="14" fillId="0" borderId="0" pivotButton="0" quotePrefix="0" xfId="3"/>
    <xf numFmtId="167" fontId="15" fillId="0" borderId="0" applyAlignment="1" pivotButton="0" quotePrefix="0" xfId="3">
      <alignment horizontal="right" vertical="top" wrapText="1"/>
    </xf>
    <xf numFmtId="167" fontId="20" fillId="3" borderId="17" applyAlignment="1" pivotButton="0" quotePrefix="0" xfId="1">
      <alignment horizontal="center"/>
    </xf>
    <xf numFmtId="167" fontId="38" fillId="8" borderId="17" applyAlignment="1" pivotButton="0" quotePrefix="0" xfId="3">
      <alignment horizontal="right" vertical="top" wrapText="1"/>
    </xf>
    <xf numFmtId="168" fontId="20" fillId="0" borderId="47" applyAlignment="1" pivotButton="0" quotePrefix="0" xfId="4">
      <alignment horizontal="center" vertical="center" wrapText="1"/>
    </xf>
    <xf numFmtId="170" fontId="14" fillId="7" borderId="49" applyAlignment="1" applyProtection="1" pivotButton="0" quotePrefix="0" xfId="1">
      <alignment horizontal="center" vertical="center" wrapText="1"/>
      <protection locked="0" hidden="0"/>
    </xf>
    <xf numFmtId="167" fontId="14" fillId="7" borderId="49" applyAlignment="1" pivotButton="0" quotePrefix="0" xfId="1">
      <alignment horizontal="center" vertical="center"/>
    </xf>
    <xf numFmtId="170" fontId="14" fillId="0" borderId="4" applyAlignment="1" applyProtection="1" pivotButton="0" quotePrefix="0" xfId="1">
      <alignment horizontal="center" vertical="center" wrapText="1"/>
      <protection locked="0" hidden="0"/>
    </xf>
    <xf numFmtId="167" fontId="14" fillId="0" borderId="4" applyAlignment="1" applyProtection="1" pivotButton="0" quotePrefix="0" xfId="5">
      <alignment horizontal="center" vertical="center" wrapText="1"/>
      <protection locked="0" hidden="0"/>
    </xf>
    <xf numFmtId="167" fontId="14" fillId="0" borderId="44" applyAlignment="1" pivotButton="0" quotePrefix="0" xfId="4">
      <alignment horizontal="center" vertical="center"/>
    </xf>
    <xf numFmtId="168" fontId="15" fillId="0" borderId="4" applyAlignment="1" pivotButton="0" quotePrefix="0" xfId="4">
      <alignment horizontal="center" vertical="top"/>
    </xf>
    <xf numFmtId="170" fontId="14" fillId="0" borderId="4" applyAlignment="1" pivotButton="0" quotePrefix="0" xfId="1">
      <alignment horizontal="center" vertical="center"/>
    </xf>
    <xf numFmtId="167" fontId="14" fillId="0" borderId="44" applyAlignment="1" pivotButton="0" quotePrefix="0" xfId="1">
      <alignment horizontal="center" vertical="center"/>
    </xf>
    <xf numFmtId="167" fontId="20" fillId="7" borderId="4" applyAlignment="1" pivotButton="0" quotePrefix="0" xfId="1">
      <alignment horizontal="center" vertical="center"/>
    </xf>
    <xf numFmtId="167" fontId="20" fillId="4" borderId="4" applyAlignment="1" pivotButton="0" quotePrefix="0" xfId="1">
      <alignment horizontal="center" vertical="center"/>
    </xf>
    <xf numFmtId="167" fontId="20" fillId="8" borderId="4" applyAlignment="1" pivotButton="0" quotePrefix="0" xfId="3">
      <alignment horizontal="right" vertical="center" wrapText="1"/>
    </xf>
    <xf numFmtId="175" fontId="10" fillId="0" borderId="0" applyAlignment="1" pivotButton="0" quotePrefix="0" xfId="0">
      <alignment horizontal="center"/>
    </xf>
    <xf numFmtId="0" fontId="17" fillId="31" borderId="3" applyAlignment="1" pivotButton="0" quotePrefix="0" xfId="4">
      <alignment horizontal="left" vertical="center"/>
    </xf>
    <xf numFmtId="0" fontId="17" fillId="32" borderId="3" applyAlignment="1" pivotButton="0" quotePrefix="0" xfId="4">
      <alignment horizontal="left" vertical="center"/>
    </xf>
    <xf numFmtId="4" fontId="14" fillId="7" borderId="49" applyAlignment="1" applyProtection="1" pivotButton="0" quotePrefix="0" xfId="1">
      <alignment horizontal="center" vertical="center" wrapText="1"/>
      <protection locked="0" hidden="0"/>
    </xf>
    <xf numFmtId="4" fontId="14" fillId="7" borderId="49" applyAlignment="1" pivotButton="0" quotePrefix="0" xfId="1">
      <alignment horizontal="center" vertical="center"/>
    </xf>
    <xf numFmtId="4" fontId="14" fillId="7" borderId="50" applyAlignment="1" pivotButton="0" quotePrefix="0" xfId="4">
      <alignment horizontal="center" vertical="center"/>
    </xf>
    <xf numFmtId="4" fontId="14" fillId="0" borderId="4" applyAlignment="1" applyProtection="1" pivotButton="0" quotePrefix="0" xfId="1">
      <alignment horizontal="center" vertical="center" wrapText="1"/>
      <protection locked="0" hidden="0"/>
    </xf>
    <xf numFmtId="4" fontId="14" fillId="0" borderId="4" applyAlignment="1" pivotButton="0" quotePrefix="0" xfId="1">
      <alignment horizontal="center" vertical="center"/>
    </xf>
    <xf numFmtId="4" fontId="14" fillId="0" borderId="21" applyAlignment="1" pivotButton="0" quotePrefix="0" xfId="1">
      <alignment horizontal="center" vertical="center"/>
    </xf>
    <xf numFmtId="4" fontId="14" fillId="0" borderId="44" applyAlignment="1" pivotButton="0" quotePrefix="0" xfId="4">
      <alignment horizontal="center" vertical="center"/>
    </xf>
    <xf numFmtId="4" fontId="14" fillId="0" borderId="4" applyAlignment="1" applyProtection="1" pivotButton="0" quotePrefix="0" xfId="5">
      <alignment horizontal="center" vertical="center" wrapText="1"/>
      <protection locked="0" hidden="0"/>
    </xf>
  </cellXfs>
  <cellStyles count="108">
    <cellStyle name="Normal" xfId="0" builtinId="0"/>
    <cellStyle name="Currency" xfId="1" builtinId="4"/>
    <cellStyle name="Normal 3" xfId="2"/>
    <cellStyle name="Normal_New COR Log_1" xfId="3"/>
    <cellStyle name="Currency 2" xfId="4"/>
    <cellStyle name="Normal 4" xfId="5"/>
    <cellStyle name="Currency 2 3" xfId="6"/>
    <cellStyle name="Currency 3" xfId="7"/>
    <cellStyle name="Percent 2" xfId="8"/>
    <cellStyle name="Comma" xfId="9" builtinId="3"/>
    <cellStyle name="Normal 28" xfId="10"/>
    <cellStyle name="20% - Accent1 2" xfId="11"/>
    <cellStyle name="20% - Accent2 2" xfId="12"/>
    <cellStyle name="20% - Accent3 2" xfId="13"/>
    <cellStyle name="20% - Accent4 2" xfId="14"/>
    <cellStyle name="20% - Accent5 2" xfId="15"/>
    <cellStyle name="20% - Accent6 2" xfId="16"/>
    <cellStyle name="40% - Accent1 2" xfId="17"/>
    <cellStyle name="40% - Accent2 2" xfId="18"/>
    <cellStyle name="40% - Accent3 2" xfId="19"/>
    <cellStyle name="40% - Accent4 2" xfId="20"/>
    <cellStyle name="40% - Accent5 2" xfId="21"/>
    <cellStyle name="40% - Accent6 2" xfId="22"/>
    <cellStyle name="60% - Accent1 2" xfId="23"/>
    <cellStyle name="60% - Accent2 2" xfId="24"/>
    <cellStyle name="60% - Accent3 2" xfId="25"/>
    <cellStyle name="60% - Accent4 2" xfId="26"/>
    <cellStyle name="60% - Accent5 2" xfId="27"/>
    <cellStyle name="60% - Accent6 2" xfId="28"/>
    <cellStyle name="Accent1 2" xfId="29"/>
    <cellStyle name="Accent2 2" xfId="30"/>
    <cellStyle name="Accent3 2" xfId="31"/>
    <cellStyle name="Accent4 2" xfId="32"/>
    <cellStyle name="Accent5 2" xfId="33"/>
    <cellStyle name="Accent6 2" xfId="34"/>
    <cellStyle name="Bad 2" xfId="35"/>
    <cellStyle name="Calculation 3" xfId="36"/>
    <cellStyle name="Check Cell 3" xfId="37"/>
    <cellStyle name="Explanatory Text 2" xfId="38"/>
    <cellStyle name="Good 2" xfId="39"/>
    <cellStyle name="Heading 1 2" xfId="40"/>
    <cellStyle name="Heading 2 2" xfId="41"/>
    <cellStyle name="Heading 3 2" xfId="42"/>
    <cellStyle name="Heading 4 2" xfId="43"/>
    <cellStyle name="Input 3" xfId="44"/>
    <cellStyle name="Linked Cell 3" xfId="45"/>
    <cellStyle name="Neutral 2" xfId="46"/>
    <cellStyle name="Note 2" xfId="47"/>
    <cellStyle name="Output 2" xfId="48"/>
    <cellStyle name="Title 2" xfId="49"/>
    <cellStyle name="Total 2" xfId="50"/>
    <cellStyle name="Warning Text 2" xfId="51"/>
    <cellStyle name="Normal 2" xfId="52"/>
    <cellStyle name="Currency 2 4" xfId="53"/>
    <cellStyle name="Normal 29" xfId="54"/>
    <cellStyle name="Percent 2 3" xfId="55"/>
    <cellStyle name="Normal 2 2" xfId="56"/>
    <cellStyle name="Currency 5" xfId="57"/>
    <cellStyle name="Normal 24" xfId="58"/>
    <cellStyle name="Comma 3" xfId="59"/>
    <cellStyle name="Currency 4" xfId="60"/>
    <cellStyle name="Input 2" xfId="61"/>
    <cellStyle name="Check Cell 2" xfId="62"/>
    <cellStyle name="PLUG" xfId="63"/>
    <cellStyle name="RENASCENT PLUG" xfId="64"/>
    <cellStyle name="Normal 6" xfId="65"/>
    <cellStyle name="Comma 2" xfId="66"/>
    <cellStyle name="Currency 3 2" xfId="67"/>
    <cellStyle name="Currency 2 2" xfId="68"/>
    <cellStyle name="Hyperlink 2" xfId="69"/>
    <cellStyle name="Hyperlink 3" xfId="70"/>
    <cellStyle name="Hyperlink 4" xfId="71"/>
    <cellStyle name="Hyperlink 4 2" xfId="72"/>
    <cellStyle name="Hyperlink 4 3" xfId="73"/>
    <cellStyle name="Hyperlink 5" xfId="74"/>
    <cellStyle name="NonZeroInt" xfId="75"/>
    <cellStyle name="Normal - Style1" xfId="76"/>
    <cellStyle name="Normal 3 2" xfId="77"/>
    <cellStyle name="Normal 4 3" xfId="78"/>
    <cellStyle name="Normal 4 2" xfId="79"/>
    <cellStyle name="Normal 4 2 2" xfId="80"/>
    <cellStyle name="Normal 5" xfId="81"/>
    <cellStyle name="Percent 2 2" xfId="82"/>
    <cellStyle name="Linked Cell 2" xfId="83"/>
    <cellStyle name="Normal 7" xfId="84"/>
    <cellStyle name="Normal 8" xfId="85"/>
    <cellStyle name="Percent 3" xfId="86"/>
    <cellStyle name="Normal 9" xfId="87"/>
    <cellStyle name="Normal 2 3" xfId="88"/>
    <cellStyle name="Normal 10" xfId="89"/>
    <cellStyle name="Normal 11" xfId="90"/>
    <cellStyle name="Normal 12" xfId="91"/>
    <cellStyle name="Normal 13" xfId="92"/>
    <cellStyle name="Normal 14" xfId="93"/>
    <cellStyle name="Normal 15" xfId="94"/>
    <cellStyle name="Normal 16" xfId="95"/>
    <cellStyle name="Normal 17" xfId="96"/>
    <cellStyle name="Normal 18" xfId="97"/>
    <cellStyle name="Calculation 2" xfId="98"/>
    <cellStyle name="Normal 19" xfId="99"/>
    <cellStyle name="Normal 20" xfId="100"/>
    <cellStyle name="Normal 21" xfId="101"/>
    <cellStyle name="Normal 22" xfId="102"/>
    <cellStyle name="Normal 23" xfId="103"/>
    <cellStyle name="Normal 25" xfId="104"/>
    <cellStyle name="Normal 26" xfId="105"/>
    <cellStyle name="Normal 27" xfId="106"/>
    <cellStyle name="Normal 30" xfId="10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/Relationships>
</file>

<file path=xl/drawings/drawing1.xml><?xml version="1.0" encoding="utf-8"?>
<wsDr xmlns="http://schemas.openxmlformats.org/drawingml/2006/spreadsheetDrawing">
  <twoCellAnchor editAs="oneCell">
    <from>
      <col>11</col>
      <colOff>1687286</colOff>
      <row>0</row>
      <rowOff>54429</rowOff>
    </from>
    <to>
      <col>11</col>
      <colOff>1698081</colOff>
      <row>0</row>
      <rowOff>155394</rowOff>
    </to>
    <pic>
      <nvPicPr>
        <cNvPr id="2" name="Picture 13" descr="02_Built_logo Black on white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3555436" y="54429"/>
          <a:ext cx="0" cy="1047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6</col>
      <colOff>1687286</colOff>
      <row>0</row>
      <rowOff>54429</rowOff>
    </from>
    <to>
      <col>6</col>
      <colOff>1696811</colOff>
      <row>0</row>
      <rowOff>155394</rowOff>
    </to>
    <pic>
      <nvPicPr>
        <cNvPr id="2" name="Picture 13" descr="02_Built_logo Black on white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3726886" y="54429"/>
          <a:ext cx="0" cy="1047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rgb="FF92D050"/>
    <outlinePr summaryBelow="1" summaryRight="1"/>
    <pageSetUpPr fitToPage="1"/>
  </sheetPr>
  <dimension ref="A1:J56"/>
  <sheetViews>
    <sheetView workbookViewId="0">
      <selection activeCell="A1" sqref="A1"/>
    </sheetView>
  </sheetViews>
  <sheetFormatPr baseColWidth="8" defaultRowHeight="15"/>
  <cols>
    <col width="11.85546875" customWidth="1" style="22" min="1" max="1"/>
    <col width="57.28515625" customWidth="1" style="23" min="2" max="2"/>
    <col width="10.85546875" customWidth="1" min="3" max="4"/>
    <col width="12.140625" customWidth="1" min="5" max="5"/>
    <col width="13.5703125" customWidth="1" min="6" max="6"/>
    <col width="13.5703125" customWidth="1" style="427" min="7" max="7"/>
    <col width="10.5703125" bestFit="1" customWidth="1" min="10" max="10"/>
    <col width="25.7109375" customWidth="1" min="11" max="11"/>
  </cols>
  <sheetData>
    <row r="1" ht="18.75" customHeight="1">
      <c r="A1" s="1" t="n"/>
      <c r="B1" s="2" t="n"/>
    </row>
    <row r="2" ht="18.75" customHeight="1">
      <c r="A2" s="1" t="n"/>
      <c r="B2" s="2" t="n"/>
    </row>
    <row r="4" ht="15.75" customHeight="1">
      <c r="A4" s="353" t="inlineStr">
        <is>
          <t>CONTRACT VARIATION - ESTIMATE</t>
        </is>
      </c>
    </row>
    <row r="5" ht="15.75" customHeight="1">
      <c r="A5" s="4" t="n"/>
      <c r="B5" s="24" t="n"/>
      <c r="C5" s="353" t="n"/>
      <c r="D5" s="353" t="n"/>
      <c r="E5" s="353" t="n"/>
      <c r="F5" s="353" t="n"/>
      <c r="G5" s="366" t="n"/>
    </row>
    <row r="6">
      <c r="A6" s="89" t="inlineStr">
        <is>
          <t>PROJECT:</t>
        </is>
      </c>
      <c r="B6" s="90" t="inlineStr">
        <is>
          <t>x1</t>
        </is>
      </c>
      <c r="C6" s="91" t="n"/>
      <c r="D6" s="92" t="n"/>
      <c r="E6" s="92" t="n"/>
      <c r="F6" s="92" t="inlineStr">
        <is>
          <t>Date:</t>
        </is>
      </c>
      <c r="G6" s="548" t="n">
        <v>46187</v>
      </c>
    </row>
    <row r="7">
      <c r="A7" s="89" t="inlineStr">
        <is>
          <t>NAME:</t>
        </is>
      </c>
      <c r="B7" s="90" t="inlineStr">
        <is>
          <t>Welink Construction</t>
        </is>
      </c>
      <c r="C7" s="91" t="n"/>
      <c r="D7" s="93" t="n"/>
      <c r="E7" s="93" t="n"/>
      <c r="F7" s="93" t="inlineStr"/>
      <c r="G7" s="428" t="n"/>
    </row>
    <row r="8">
      <c r="A8" s="89" t="inlineStr">
        <is>
          <t>SITE ADDRESS:</t>
        </is>
      </c>
      <c r="B8" s="90" t="inlineStr">
        <is>
          <t>ATRA</t>
        </is>
      </c>
      <c r="C8" s="91" t="n"/>
      <c r="D8" s="91" t="n"/>
      <c r="E8" s="91" t="n"/>
      <c r="F8" s="91" t="n"/>
      <c r="G8" s="428" t="n"/>
    </row>
    <row r="9">
      <c r="A9" s="89" t="inlineStr">
        <is>
          <t>JOB No:</t>
        </is>
      </c>
      <c r="B9" s="90" t="inlineStr">
        <is>
          <t>9876</t>
        </is>
      </c>
      <c r="C9" s="95" t="n"/>
      <c r="D9" s="95" t="n"/>
      <c r="E9" s="95" t="n"/>
      <c r="F9" s="95" t="n"/>
      <c r="G9" s="428" t="n"/>
    </row>
    <row r="10">
      <c r="A10" s="96" t="n"/>
      <c r="B10" s="97" t="n"/>
      <c r="C10" s="95" t="n"/>
      <c r="D10" s="95" t="n"/>
      <c r="E10" s="95" t="n"/>
      <c r="F10" s="95" t="n"/>
      <c r="G10" s="428" t="n"/>
    </row>
    <row r="11" ht="15.75" customHeight="1" thickBot="1">
      <c r="A11" s="98" t="n"/>
      <c r="B11" s="99" t="inlineStr">
        <is>
          <t>VO2 - West</t>
        </is>
      </c>
      <c r="C11" s="100" t="n"/>
      <c r="D11" s="100" t="n"/>
      <c r="E11" s="100" t="n"/>
      <c r="F11" s="100" t="n"/>
      <c r="G11" s="429" t="n"/>
    </row>
    <row r="12" ht="15.75" customHeight="1" thickBot="1">
      <c r="A12" s="102" t="inlineStr">
        <is>
          <t>Item</t>
        </is>
      </c>
      <c r="B12" s="430" t="inlineStr">
        <is>
          <t>Description</t>
        </is>
      </c>
      <c r="C12" s="369" t="n"/>
      <c r="D12" s="369" t="n"/>
      <c r="E12" s="370" t="n"/>
      <c r="F12" s="103" t="inlineStr">
        <is>
          <t>Cost</t>
        </is>
      </c>
      <c r="G12" s="431" t="inlineStr">
        <is>
          <t>Credit</t>
        </is>
      </c>
    </row>
    <row r="13">
      <c r="A13" s="105" t="n"/>
      <c r="B13" s="106" t="n"/>
      <c r="C13" s="432" t="inlineStr">
        <is>
          <t>Qty</t>
        </is>
      </c>
      <c r="D13" s="432" t="inlineStr">
        <is>
          <t>Unit</t>
        </is>
      </c>
      <c r="E13" s="433" t="inlineStr">
        <is>
          <t>Rate ($)</t>
        </is>
      </c>
      <c r="F13" s="434" t="n"/>
      <c r="G13" s="435" t="n"/>
      <c r="H13" s="436" t="n"/>
      <c r="I13" s="436" t="n"/>
    </row>
    <row r="14">
      <c r="A14" s="107" t="n">
        <v>1</v>
      </c>
      <c r="B14" s="329" t="inlineStr">
        <is>
          <t>BTEAR</t>
        </is>
      </c>
      <c r="C14" s="152" t="n">
        <v>1</v>
      </c>
      <c r="D14" s="477" t="inlineStr">
        <is>
          <t>item</t>
        </is>
      </c>
      <c r="E14" s="439" t="n">
        <v>45555</v>
      </c>
      <c r="F14" s="478">
        <f>C14*E14</f>
        <v/>
      </c>
      <c r="G14" s="437" t="n">
        <v>12000</v>
      </c>
      <c r="J14" s="438" t="n"/>
    </row>
    <row r="15">
      <c r="A15" s="107" t="n"/>
      <c r="B15" s="82" t="n"/>
      <c r="C15" s="152" t="n"/>
      <c r="D15" s="477" t="n"/>
      <c r="E15" s="477" t="n"/>
      <c r="F15" s="478" t="n"/>
      <c r="G15" s="437" t="n"/>
      <c r="I15" s="479" t="n"/>
      <c r="J15" s="438" t="n"/>
    </row>
    <row r="16">
      <c r="A16" s="107" t="n"/>
      <c r="B16" s="82" t="n"/>
      <c r="C16" s="152" t="n"/>
      <c r="D16" s="477" t="n"/>
      <c r="E16" s="477" t="n"/>
      <c r="F16" s="478" t="n"/>
      <c r="G16" s="437" t="n"/>
      <c r="I16" s="479" t="n"/>
      <c r="J16" s="438" t="n"/>
    </row>
    <row r="17">
      <c r="A17" s="107" t="n"/>
      <c r="B17" s="82" t="n"/>
      <c r="C17" s="152" t="n"/>
      <c r="D17" s="477" t="n"/>
      <c r="E17" s="439" t="n"/>
      <c r="F17" s="478" t="n"/>
      <c r="G17" s="437" t="n"/>
      <c r="I17" s="479" t="n"/>
      <c r="J17" s="479" t="n"/>
    </row>
    <row r="18">
      <c r="A18" s="107" t="n"/>
      <c r="B18" s="82" t="n"/>
      <c r="C18" s="152" t="n"/>
      <c r="D18" s="477" t="n"/>
      <c r="E18" s="439" t="n"/>
      <c r="F18" s="478" t="n"/>
      <c r="G18" s="437" t="n"/>
    </row>
    <row r="19" ht="15.75" customHeight="1" thickBot="1">
      <c r="A19" s="109" t="n"/>
      <c r="B19" s="85" t="n"/>
      <c r="C19" s="86" t="n"/>
      <c r="D19" s="442" t="n"/>
      <c r="E19" s="443" t="n"/>
      <c r="F19" s="444" t="n"/>
      <c r="G19" s="445" t="n"/>
    </row>
    <row r="20" ht="15.75" customHeight="1" thickBot="1">
      <c r="A20" s="360" t="inlineStr">
        <is>
          <t>SUB TOTAL</t>
        </is>
      </c>
      <c r="B20" s="8" t="n"/>
      <c r="C20" s="8" t="n"/>
      <c r="D20" s="8" t="n"/>
      <c r="F20" s="446">
        <f>SUM(F14:F19)</f>
        <v/>
      </c>
      <c r="G20" s="447">
        <f>SUM(G14:G19)</f>
        <v/>
      </c>
    </row>
    <row r="21">
      <c r="A21" s="360" t="inlineStr">
        <is>
          <t>NETT VARIATION COST</t>
        </is>
      </c>
      <c r="F21" s="448">
        <f>F20-G20</f>
        <v/>
      </c>
      <c r="G21" s="449" t="n"/>
    </row>
    <row r="22" ht="15" customHeight="1">
      <c r="A22" s="360" t="inlineStr">
        <is>
          <t>MARGIN AND OVERHEAD COSTS (10%)</t>
        </is>
      </c>
      <c r="B22" s="360" t="n"/>
      <c r="F22" s="450">
        <f>F21*0.1</f>
        <v/>
      </c>
      <c r="G22" s="451" t="n"/>
    </row>
    <row r="23">
      <c r="A23" s="360" t="inlineStr">
        <is>
          <t>VARIATION COST EXCLUDING GST</t>
        </is>
      </c>
      <c r="B23" s="360" t="n"/>
      <c r="F23" s="452">
        <f>F21+F22</f>
        <v/>
      </c>
      <c r="G23" s="453" t="n"/>
    </row>
    <row r="24" ht="15.75" customHeight="1" thickBot="1">
      <c r="A24" s="360" t="inlineStr">
        <is>
          <t>GST</t>
        </is>
      </c>
      <c r="B24" s="360" t="n"/>
      <c r="F24" s="454">
        <f>F23*0.1</f>
        <v/>
      </c>
      <c r="G24" s="455" t="n"/>
    </row>
    <row r="25" ht="15.75" customHeight="1" thickBot="1">
      <c r="A25" s="360" t="inlineStr">
        <is>
          <t>TOTAL INCLUDING GST</t>
        </is>
      </c>
      <c r="B25" s="360" t="n"/>
      <c r="F25" s="456">
        <f>F23+F24</f>
        <v/>
      </c>
      <c r="G25" s="370" t="n"/>
    </row>
    <row r="26">
      <c r="A26" s="360" t="n"/>
      <c r="C26" s="23" t="n"/>
      <c r="D26" s="23" t="n"/>
      <c r="E26" s="23" t="n"/>
      <c r="F26" s="23" t="n"/>
      <c r="G26" s="23" t="n"/>
    </row>
    <row r="27" ht="15.75" customHeight="1" thickBot="1">
      <c r="A27" s="360" t="n"/>
      <c r="C27" s="457" t="n"/>
    </row>
    <row r="28">
      <c r="A28" s="34" t="n"/>
      <c r="B28" s="9" t="n"/>
      <c r="D28" s="458" t="n"/>
      <c r="F28" s="459" t="inlineStr">
        <is>
          <t>Variation Raised By:</t>
        </is>
      </c>
      <c r="G28" s="460" t="n"/>
      <c r="I28" s="461" t="n"/>
      <c r="J28" s="461" t="n"/>
    </row>
    <row r="29" ht="20.25" customHeight="1">
      <c r="A29" s="34" t="n"/>
      <c r="B29" s="9" t="n"/>
      <c r="D29" s="462" t="n"/>
      <c r="F29" s="463" t="inlineStr">
        <is>
          <t>AC</t>
        </is>
      </c>
      <c r="G29" s="464" t="n"/>
      <c r="I29" s="465" t="n"/>
      <c r="J29" s="465" t="n"/>
    </row>
    <row r="30" ht="15" customHeight="1">
      <c r="A30" s="34" t="n"/>
      <c r="B30" s="9" t="n"/>
      <c r="D30" s="462" t="n"/>
      <c r="F30" s="466" t="n"/>
      <c r="G30" s="467" t="n"/>
      <c r="I30" s="465" t="n"/>
      <c r="J30" s="465" t="n"/>
    </row>
    <row r="31">
      <c r="A31" s="360" t="inlineStr">
        <is>
          <t>ACCEPTED FOR AND ON BEHALF OF CLIENT:</t>
        </is>
      </c>
      <c r="D31" s="458" t="n"/>
      <c r="F31" s="468" t="inlineStr">
        <is>
          <t>Authorised By:</t>
        </is>
      </c>
      <c r="G31" s="469" t="n"/>
      <c r="I31" s="461" t="n"/>
      <c r="J31" s="461" t="n"/>
    </row>
    <row r="32">
      <c r="A32" s="26" t="n"/>
      <c r="B32" s="26" t="n"/>
      <c r="D32" s="470" t="n"/>
      <c r="F32" s="32" t="n"/>
      <c r="G32" s="37" t="n"/>
      <c r="I32" s="470" t="n"/>
      <c r="J32" s="470" t="n"/>
    </row>
    <row r="33">
      <c r="A33" s="26" t="n"/>
      <c r="B33" s="26" t="n"/>
      <c r="D33" s="470" t="n"/>
      <c r="F33" s="466" t="n"/>
      <c r="G33" s="467" t="n"/>
      <c r="I33" s="470" t="n"/>
      <c r="J33" s="470" t="n"/>
    </row>
    <row r="34" ht="15.75" customHeight="1" thickBot="1">
      <c r="A34" s="361" t="n"/>
      <c r="B34" s="403" t="n"/>
      <c r="C34" s="471" t="n"/>
      <c r="D34" s="471" t="n"/>
      <c r="F34" s="472" t="n"/>
      <c r="G34" s="473" t="n"/>
    </row>
    <row r="35">
      <c r="A35" s="34" t="n"/>
      <c r="B35" s="9" t="n"/>
      <c r="C35" s="471" t="n"/>
      <c r="D35" s="471" t="n"/>
      <c r="E35" s="470" t="n"/>
      <c r="F35" s="470" t="n"/>
      <c r="G35" s="470" t="n"/>
    </row>
    <row r="36">
      <c r="C36" s="471" t="n"/>
      <c r="D36" s="471" t="n"/>
      <c r="E36" s="471" t="n"/>
      <c r="F36" s="471" t="n"/>
      <c r="G36" s="474" t="n"/>
    </row>
    <row r="37">
      <c r="C37" s="471" t="n"/>
      <c r="D37" s="471" t="n"/>
      <c r="E37" s="471" t="n"/>
      <c r="F37" s="471" t="n"/>
      <c r="G37" s="474" t="n"/>
    </row>
    <row r="38">
      <c r="C38" s="471" t="n"/>
      <c r="D38" s="471" t="n"/>
      <c r="E38" s="471" t="n"/>
      <c r="F38" s="471" t="n"/>
      <c r="G38" s="474" t="n"/>
    </row>
    <row r="39">
      <c r="C39" s="471" t="n"/>
      <c r="D39" s="471" t="n"/>
      <c r="E39" s="471" t="n"/>
      <c r="F39" s="471" t="n"/>
      <c r="G39" s="474" t="n"/>
    </row>
    <row r="40">
      <c r="A40" s="17" t="n"/>
      <c r="B40" s="18" t="n"/>
      <c r="C40" s="6" t="n"/>
      <c r="D40" s="6" t="n"/>
      <c r="E40" s="6" t="n"/>
      <c r="F40" s="6" t="n"/>
      <c r="G40" s="475" t="n"/>
    </row>
    <row r="41">
      <c r="A41" s="17" t="n"/>
      <c r="B41" s="18" t="n"/>
      <c r="C41" s="6" t="n"/>
      <c r="D41" s="6" t="n"/>
      <c r="E41" s="6" t="n"/>
      <c r="F41" s="6" t="n"/>
      <c r="G41" s="475" t="n"/>
    </row>
    <row r="42">
      <c r="A42" s="17" t="n"/>
      <c r="B42" s="18" t="n"/>
      <c r="C42" s="6" t="n"/>
      <c r="D42" s="6" t="n"/>
      <c r="E42" s="6" t="n"/>
      <c r="F42" s="6" t="n"/>
      <c r="G42" s="475" t="n"/>
    </row>
    <row r="43">
      <c r="A43" s="17" t="n"/>
      <c r="B43" s="18" t="n"/>
      <c r="C43" s="6" t="n"/>
      <c r="D43" s="6" t="n"/>
      <c r="E43" s="6" t="n"/>
      <c r="F43" s="6" t="n"/>
      <c r="G43" s="475" t="n"/>
    </row>
    <row r="44">
      <c r="A44" s="17" t="n"/>
      <c r="B44" s="18" t="n"/>
      <c r="C44" s="6" t="n"/>
      <c r="D44" s="6" t="n"/>
      <c r="E44" s="6" t="n"/>
      <c r="F44" s="6" t="n"/>
      <c r="G44" s="475" t="n"/>
    </row>
    <row r="45">
      <c r="A45" s="17" t="n"/>
      <c r="B45" s="18" t="n"/>
      <c r="C45" s="6" t="n"/>
      <c r="D45" s="6" t="n"/>
      <c r="E45" s="6" t="n"/>
      <c r="F45" s="6" t="n"/>
      <c r="G45" s="475" t="n"/>
    </row>
    <row r="46">
      <c r="A46" s="19" t="n"/>
      <c r="B46" s="20" t="n"/>
      <c r="C46" s="6" t="n"/>
      <c r="D46" s="6" t="n"/>
      <c r="E46" s="6" t="n"/>
      <c r="F46" s="6" t="n"/>
      <c r="G46" s="476" t="n"/>
    </row>
    <row r="47">
      <c r="A47" s="17" t="n"/>
      <c r="B47" s="18" t="n"/>
      <c r="C47" s="6" t="n"/>
      <c r="D47" s="6" t="n"/>
      <c r="E47" s="6" t="n"/>
      <c r="F47" s="6" t="n"/>
      <c r="G47" s="475" t="n"/>
    </row>
    <row r="48">
      <c r="A48" s="19" t="n"/>
      <c r="B48" s="20" t="n"/>
      <c r="C48" s="6" t="n"/>
      <c r="D48" s="6" t="n"/>
      <c r="E48" s="6" t="n"/>
      <c r="F48" s="6" t="n"/>
      <c r="G48" s="476" t="n"/>
    </row>
    <row r="49">
      <c r="A49" s="17" t="n"/>
      <c r="B49" s="18" t="n"/>
      <c r="C49" s="6" t="n"/>
      <c r="D49" s="6" t="n"/>
      <c r="E49" s="6" t="n"/>
      <c r="F49" s="6" t="n"/>
      <c r="G49" s="475" t="n"/>
    </row>
    <row r="50">
      <c r="A50" s="19" t="n"/>
      <c r="B50" s="20" t="n"/>
      <c r="C50" s="6" t="n"/>
      <c r="D50" s="6" t="n"/>
      <c r="E50" s="6" t="n"/>
      <c r="F50" s="6" t="n"/>
      <c r="G50" s="476" t="n"/>
    </row>
    <row r="51">
      <c r="A51" s="17" t="n"/>
      <c r="B51" s="18" t="n"/>
      <c r="C51" s="6" t="n"/>
      <c r="D51" s="6" t="n"/>
      <c r="E51" s="6" t="n"/>
      <c r="F51" s="6" t="n"/>
      <c r="G51" s="475" t="n"/>
    </row>
    <row r="52">
      <c r="A52" s="17" t="n"/>
      <c r="B52" s="18" t="n"/>
      <c r="C52" s="6" t="n"/>
      <c r="D52" s="6" t="n"/>
      <c r="E52" s="6" t="n"/>
      <c r="F52" s="6" t="n"/>
      <c r="G52" s="475" t="n"/>
    </row>
    <row r="53">
      <c r="A53" s="17" t="n"/>
      <c r="B53" s="18" t="n"/>
      <c r="C53" s="6" t="n"/>
      <c r="D53" s="6" t="n"/>
      <c r="E53" s="6" t="n"/>
      <c r="F53" s="6" t="n"/>
      <c r="G53" s="475" t="n"/>
    </row>
    <row r="54">
      <c r="A54" s="17" t="n"/>
      <c r="B54" s="18" t="n"/>
      <c r="C54" s="6" t="n"/>
      <c r="D54" s="6" t="n"/>
      <c r="E54" s="6" t="n"/>
      <c r="F54" s="6" t="n"/>
      <c r="G54" s="475" t="n"/>
    </row>
    <row r="55">
      <c r="A55" s="17" t="n"/>
      <c r="B55" s="18" t="n"/>
      <c r="C55" s="6" t="n"/>
      <c r="D55" s="6" t="n"/>
      <c r="E55" s="6" t="n"/>
      <c r="F55" s="6" t="n"/>
      <c r="G55" s="475" t="n"/>
    </row>
    <row r="56">
      <c r="A56" s="17" t="n"/>
      <c r="B56" s="18" t="n"/>
      <c r="C56" s="6" t="n"/>
      <c r="D56" s="6" t="n"/>
      <c r="E56" s="6" t="n"/>
      <c r="F56" s="6" t="n"/>
      <c r="G56" s="475" t="n"/>
    </row>
  </sheetData>
  <mergeCells count="6">
    <mergeCell ref="B12:E12"/>
    <mergeCell ref="F25:G25"/>
    <mergeCell ref="A4:G4"/>
    <mergeCell ref="C27:G27"/>
    <mergeCell ref="A31:B31"/>
    <mergeCell ref="A34:B34"/>
  </mergeCells>
  <pageMargins left="0.7" right="0.7" top="0.75" bottom="0.75" header="0.3" footer="0.3"/>
  <pageSetup orientation="portrait" paperSize="9" scale="67"/>
</worksheet>
</file>

<file path=xl/worksheets/sheet2.xml><?xml version="1.0" encoding="utf-8"?>
<worksheet xmlns="http://schemas.openxmlformats.org/spreadsheetml/2006/main">
  <sheetPr>
    <tabColor rgb="FF92D050"/>
    <outlinePr summaryBelow="1" summaryRight="1"/>
    <pageSetUpPr fitToPage="1"/>
  </sheetPr>
  <dimension ref="A1:J56"/>
  <sheetViews>
    <sheetView workbookViewId="0">
      <selection activeCell="A1" sqref="A1"/>
    </sheetView>
  </sheetViews>
  <sheetFormatPr baseColWidth="8" defaultRowHeight="15"/>
  <cols>
    <col width="11.85546875" customWidth="1" style="22" min="1" max="1"/>
    <col width="57.28515625" customWidth="1" style="23" min="2" max="2"/>
    <col width="10.85546875" customWidth="1" min="3" max="4"/>
    <col width="12.140625" customWidth="1" min="5" max="5"/>
    <col width="13.5703125" customWidth="1" min="6" max="6"/>
    <col width="13.5703125" customWidth="1" style="427" min="7" max="7"/>
    <col width="10.5703125" bestFit="1" customWidth="1" min="10" max="10"/>
    <col width="25.7109375" customWidth="1" min="11" max="11"/>
  </cols>
  <sheetData>
    <row r="1" ht="18.75" customHeight="1">
      <c r="A1" s="1" t="n"/>
      <c r="B1" s="2" t="n"/>
    </row>
    <row r="2" ht="18.75" customHeight="1">
      <c r="A2" s="1" t="n"/>
      <c r="B2" s="2" t="n"/>
    </row>
    <row r="4" ht="15.75" customHeight="1">
      <c r="A4" s="353" t="inlineStr">
        <is>
          <t>CONTRACT VARIATION</t>
        </is>
      </c>
    </row>
    <row r="5" ht="15.75" customHeight="1">
      <c r="A5" s="4" t="n"/>
      <c r="B5" s="24" t="n"/>
      <c r="C5" s="353" t="n"/>
      <c r="D5" s="353" t="n"/>
      <c r="E5" s="353" t="n"/>
      <c r="F5" s="353" t="n"/>
      <c r="G5" s="366" t="n"/>
    </row>
    <row r="6">
      <c r="A6" s="89" t="inlineStr">
        <is>
          <t>PROJECT:</t>
        </is>
      </c>
      <c r="B6" s="90" t="inlineStr">
        <is>
          <t>x1</t>
        </is>
      </c>
      <c r="C6" s="91" t="n"/>
      <c r="D6" s="92" t="n"/>
      <c r="E6" s="92" t="n"/>
      <c r="F6" s="92" t="inlineStr">
        <is>
          <t>Date:</t>
        </is>
      </c>
      <c r="G6" s="548" t="n">
        <v>46187</v>
      </c>
    </row>
    <row r="7">
      <c r="A7" s="89" t="inlineStr">
        <is>
          <t>NAME:</t>
        </is>
      </c>
      <c r="B7" s="90" t="inlineStr">
        <is>
          <t>Welink Construction</t>
        </is>
      </c>
      <c r="C7" s="91" t="n"/>
      <c r="D7" s="93" t="n"/>
      <c r="E7" s="93" t="n"/>
      <c r="F7" s="93" t="inlineStr"/>
      <c r="G7" s="428" t="n"/>
    </row>
    <row r="8">
      <c r="A8" s="89" t="inlineStr">
        <is>
          <t>SITE ADDRESS:</t>
        </is>
      </c>
      <c r="B8" s="90" t="inlineStr">
        <is>
          <t>ATRA</t>
        </is>
      </c>
      <c r="C8" s="91" t="n"/>
      <c r="D8" s="91" t="n"/>
      <c r="E8" s="91" t="n"/>
      <c r="F8" s="91" t="n"/>
      <c r="G8" s="428" t="n"/>
    </row>
    <row r="9">
      <c r="A9" s="89" t="inlineStr">
        <is>
          <t>JOB No:</t>
        </is>
      </c>
      <c r="B9" s="90" t="inlineStr">
        <is>
          <t>9876</t>
        </is>
      </c>
      <c r="C9" s="95" t="n"/>
      <c r="D9" s="95" t="n"/>
      <c r="E9" s="95" t="n"/>
      <c r="F9" s="95" t="n"/>
      <c r="G9" s="428" t="n"/>
    </row>
    <row r="10">
      <c r="A10" s="96" t="n"/>
      <c r="B10" s="97" t="n"/>
      <c r="C10" s="95" t="n"/>
      <c r="D10" s="95" t="n"/>
      <c r="E10" s="95" t="n"/>
      <c r="F10" s="95" t="n"/>
      <c r="G10" s="428" t="n"/>
    </row>
    <row r="11" ht="15.75" customHeight="1" thickBot="1">
      <c r="A11" s="98" t="n"/>
      <c r="B11" s="99" t="inlineStr">
        <is>
          <t>VO3 - BEEASt</t>
        </is>
      </c>
      <c r="C11" s="100" t="n"/>
      <c r="D11" s="100" t="n"/>
      <c r="E11" s="100" t="n"/>
      <c r="F11" s="100" t="n"/>
      <c r="G11" s="429" t="n"/>
    </row>
    <row r="12" ht="15.75" customHeight="1" thickBot="1">
      <c r="A12" s="102" t="inlineStr">
        <is>
          <t>Item</t>
        </is>
      </c>
      <c r="B12" s="430" t="inlineStr">
        <is>
          <t>Description</t>
        </is>
      </c>
      <c r="C12" s="369" t="n"/>
      <c r="D12" s="369" t="n"/>
      <c r="E12" s="370" t="n"/>
      <c r="F12" s="103" t="inlineStr">
        <is>
          <t>Cost</t>
        </is>
      </c>
      <c r="G12" s="431" t="inlineStr">
        <is>
          <t>Credit</t>
        </is>
      </c>
    </row>
    <row r="13">
      <c r="A13" s="105" t="n"/>
      <c r="B13" s="106" t="n"/>
      <c r="C13" s="432" t="inlineStr">
        <is>
          <t>Qty</t>
        </is>
      </c>
      <c r="D13" s="432" t="inlineStr">
        <is>
          <t>Unit</t>
        </is>
      </c>
      <c r="E13" s="433" t="inlineStr">
        <is>
          <t>Rate ($)</t>
        </is>
      </c>
      <c r="F13" s="434" t="n"/>
      <c r="G13" s="435" t="n"/>
      <c r="H13" s="436" t="n"/>
      <c r="I13" s="436" t="n"/>
    </row>
    <row r="14">
      <c r="A14" s="107" t="n">
        <v>1</v>
      </c>
      <c r="B14" s="329" t="inlineStr">
        <is>
          <t>GULUGULU</t>
        </is>
      </c>
      <c r="C14" s="152" t="n">
        <v>2</v>
      </c>
      <c r="D14" s="477" t="inlineStr">
        <is>
          <t>item</t>
        </is>
      </c>
      <c r="E14" s="439" t="n">
        <v>9000</v>
      </c>
      <c r="F14" s="478">
        <f>C14*E14</f>
        <v/>
      </c>
      <c r="G14" s="437" t="n">
        <v>0</v>
      </c>
      <c r="J14" s="438" t="n"/>
    </row>
    <row r="15">
      <c r="A15" s="107" t="n"/>
      <c r="B15" s="82" t="n"/>
      <c r="C15" s="152" t="n"/>
      <c r="D15" s="477" t="n"/>
      <c r="E15" s="477" t="n"/>
      <c r="F15" s="478" t="n"/>
      <c r="G15" s="437" t="n"/>
      <c r="I15" s="479" t="n"/>
      <c r="J15" s="438" t="n"/>
    </row>
    <row r="16">
      <c r="A16" s="107" t="n"/>
      <c r="B16" s="82" t="n"/>
      <c r="C16" s="152" t="n"/>
      <c r="D16" s="477" t="n"/>
      <c r="E16" s="477" t="n"/>
      <c r="F16" s="478" t="n"/>
      <c r="G16" s="437" t="n"/>
      <c r="I16" s="479" t="n"/>
      <c r="J16" s="438" t="n"/>
    </row>
    <row r="17">
      <c r="A17" s="107" t="n"/>
      <c r="B17" s="82" t="n"/>
      <c r="C17" s="152" t="n"/>
      <c r="D17" s="477" t="n"/>
      <c r="E17" s="439" t="n"/>
      <c r="F17" s="478" t="n"/>
      <c r="G17" s="437" t="n"/>
      <c r="I17" s="479" t="n"/>
      <c r="J17" s="479" t="n"/>
    </row>
    <row r="18">
      <c r="A18" s="107" t="n"/>
      <c r="B18" s="82" t="n"/>
      <c r="C18" s="152" t="n"/>
      <c r="D18" s="477" t="n"/>
      <c r="E18" s="439" t="n"/>
      <c r="F18" s="478" t="n"/>
      <c r="G18" s="437" t="n"/>
    </row>
    <row r="19" ht="15.75" customHeight="1" thickBot="1">
      <c r="A19" s="109" t="n"/>
      <c r="B19" s="85" t="n"/>
      <c r="C19" s="86" t="n"/>
      <c r="D19" s="442" t="n"/>
      <c r="E19" s="443" t="n"/>
      <c r="F19" s="444" t="n"/>
      <c r="G19" s="445" t="n"/>
    </row>
    <row r="20" ht="15.75" customHeight="1" thickBot="1">
      <c r="A20" s="360" t="inlineStr">
        <is>
          <t>SUB TOTAL</t>
        </is>
      </c>
      <c r="B20" s="8" t="n"/>
      <c r="C20" s="8" t="n"/>
      <c r="D20" s="8" t="n"/>
      <c r="F20" s="446">
        <f>SUM(F14:F19)</f>
        <v/>
      </c>
      <c r="G20" s="447">
        <f>SUM(G14:G19)</f>
        <v/>
      </c>
    </row>
    <row r="21">
      <c r="A21" s="360" t="inlineStr">
        <is>
          <t>NETT VARIATION COST</t>
        </is>
      </c>
      <c r="F21" s="448">
        <f>F20-G20</f>
        <v/>
      </c>
      <c r="G21" s="449" t="n"/>
    </row>
    <row r="22" ht="15" customHeight="1">
      <c r="A22" s="360" t="inlineStr">
        <is>
          <t>MARGIN AND OVERHEAD COSTS (10%)</t>
        </is>
      </c>
      <c r="B22" s="360" t="n"/>
      <c r="F22" s="450">
        <f>F21*0.1</f>
        <v/>
      </c>
      <c r="G22" s="451" t="n"/>
    </row>
    <row r="23">
      <c r="A23" s="360" t="inlineStr">
        <is>
          <t>VARIATION COST EXCLUDING GST</t>
        </is>
      </c>
      <c r="B23" s="360" t="n"/>
      <c r="F23" s="452">
        <f>F21+F22</f>
        <v/>
      </c>
      <c r="G23" s="453" t="n"/>
    </row>
    <row r="24" ht="15.75" customHeight="1" thickBot="1">
      <c r="A24" s="360" t="inlineStr">
        <is>
          <t>GST</t>
        </is>
      </c>
      <c r="B24" s="360" t="n"/>
      <c r="F24" s="454">
        <f>F23*0.1</f>
        <v/>
      </c>
      <c r="G24" s="455" t="n"/>
    </row>
    <row r="25" ht="15.75" customHeight="1" thickBot="1">
      <c r="A25" s="360" t="inlineStr">
        <is>
          <t>TOTAL INCLUDING GST</t>
        </is>
      </c>
      <c r="B25" s="360" t="n"/>
      <c r="F25" s="456">
        <f>F23+F24</f>
        <v/>
      </c>
      <c r="G25" s="370" t="n"/>
    </row>
    <row r="26">
      <c r="A26" s="360" t="n"/>
      <c r="C26" s="23" t="n"/>
      <c r="D26" s="23" t="n"/>
      <c r="E26" s="23" t="n"/>
      <c r="F26" s="23" t="n"/>
      <c r="G26" s="23" t="n"/>
    </row>
    <row r="27" ht="15.75" customHeight="1" thickBot="1">
      <c r="A27" s="360" t="n"/>
      <c r="C27" s="457" t="n"/>
    </row>
    <row r="28">
      <c r="A28" s="34" t="n"/>
      <c r="B28" s="9" t="n"/>
      <c r="D28" s="458" t="n"/>
      <c r="F28" s="459" t="inlineStr">
        <is>
          <t>Variation Raised By:</t>
        </is>
      </c>
      <c r="G28" s="460" t="n"/>
      <c r="I28" s="461" t="n"/>
      <c r="J28" s="461" t="n"/>
    </row>
    <row r="29" ht="20.25" customHeight="1">
      <c r="A29" s="34" t="n"/>
      <c r="B29" s="9" t="n"/>
      <c r="D29" s="462" t="n"/>
      <c r="F29" s="463" t="inlineStr">
        <is>
          <t>AC</t>
        </is>
      </c>
      <c r="G29" s="464" t="n"/>
      <c r="I29" s="465" t="n"/>
      <c r="J29" s="465" t="n"/>
    </row>
    <row r="30" ht="15" customHeight="1">
      <c r="A30" s="34" t="n"/>
      <c r="B30" s="9" t="n"/>
      <c r="D30" s="462" t="n"/>
      <c r="F30" s="466" t="n"/>
      <c r="G30" s="467" t="n"/>
      <c r="I30" s="465" t="n"/>
      <c r="J30" s="465" t="n"/>
    </row>
    <row r="31">
      <c r="A31" s="360" t="inlineStr">
        <is>
          <t>ACCEPTED FOR AND ON BEHALF OF CLIENT:</t>
        </is>
      </c>
      <c r="D31" s="458" t="n"/>
      <c r="F31" s="468" t="inlineStr">
        <is>
          <t>Authorised By:</t>
        </is>
      </c>
      <c r="G31" s="469" t="n"/>
      <c r="I31" s="461" t="n"/>
      <c r="J31" s="461" t="n"/>
    </row>
    <row r="32">
      <c r="A32" s="26" t="n"/>
      <c r="B32" s="26" t="n"/>
      <c r="D32" s="470" t="n"/>
      <c r="F32" s="32" t="n"/>
      <c r="G32" s="37" t="n"/>
      <c r="I32" s="470" t="n"/>
      <c r="J32" s="470" t="n"/>
    </row>
    <row r="33">
      <c r="A33" s="26" t="n"/>
      <c r="B33" s="26" t="n"/>
      <c r="D33" s="470" t="n"/>
      <c r="F33" s="466" t="n"/>
      <c r="G33" s="467" t="n"/>
      <c r="I33" s="470" t="n"/>
      <c r="J33" s="470" t="n"/>
    </row>
    <row r="34" ht="15.75" customHeight="1" thickBot="1">
      <c r="A34" s="361" t="n"/>
      <c r="B34" s="403" t="n"/>
      <c r="C34" s="471" t="n"/>
      <c r="D34" s="471" t="n"/>
      <c r="F34" s="472" t="n"/>
      <c r="G34" s="473" t="n"/>
    </row>
    <row r="35">
      <c r="A35" s="34" t="n"/>
      <c r="B35" s="9" t="n"/>
      <c r="C35" s="471" t="n"/>
      <c r="D35" s="471" t="n"/>
      <c r="E35" s="470" t="n"/>
      <c r="F35" s="470" t="n"/>
      <c r="G35" s="470" t="n"/>
    </row>
    <row r="36">
      <c r="C36" s="471" t="n"/>
      <c r="D36" s="471" t="n"/>
      <c r="E36" s="471" t="n"/>
      <c r="F36" s="471" t="n"/>
      <c r="G36" s="474" t="n"/>
    </row>
    <row r="37">
      <c r="C37" s="471" t="n"/>
      <c r="D37" s="471" t="n"/>
      <c r="E37" s="471" t="n"/>
      <c r="F37" s="471" t="n"/>
      <c r="G37" s="474" t="n"/>
    </row>
    <row r="38">
      <c r="C38" s="471" t="n"/>
      <c r="D38" s="471" t="n"/>
      <c r="E38" s="471" t="n"/>
      <c r="F38" s="471" t="n"/>
      <c r="G38" s="474" t="n"/>
    </row>
    <row r="39">
      <c r="C39" s="471" t="n"/>
      <c r="D39" s="471" t="n"/>
      <c r="E39" s="471" t="n"/>
      <c r="F39" s="471" t="n"/>
      <c r="G39" s="474" t="n"/>
    </row>
    <row r="40">
      <c r="A40" s="17" t="n"/>
      <c r="B40" s="18" t="n"/>
      <c r="C40" s="6" t="n"/>
      <c r="D40" s="6" t="n"/>
      <c r="E40" s="6" t="n"/>
      <c r="F40" s="6" t="n"/>
      <c r="G40" s="475" t="n"/>
    </row>
    <row r="41">
      <c r="A41" s="17" t="n"/>
      <c r="B41" s="18" t="n"/>
      <c r="C41" s="6" t="n"/>
      <c r="D41" s="6" t="n"/>
      <c r="E41" s="6" t="n"/>
      <c r="F41" s="6" t="n"/>
      <c r="G41" s="475" t="n"/>
    </row>
    <row r="42">
      <c r="A42" s="17" t="n"/>
      <c r="B42" s="18" t="n"/>
      <c r="C42" s="6" t="n"/>
      <c r="D42" s="6" t="n"/>
      <c r="E42" s="6" t="n"/>
      <c r="F42" s="6" t="n"/>
      <c r="G42" s="475" t="n"/>
    </row>
    <row r="43">
      <c r="A43" s="17" t="n"/>
      <c r="B43" s="18" t="n"/>
      <c r="C43" s="6" t="n"/>
      <c r="D43" s="6" t="n"/>
      <c r="E43" s="6" t="n"/>
      <c r="F43" s="6" t="n"/>
      <c r="G43" s="475" t="n"/>
    </row>
    <row r="44">
      <c r="A44" s="17" t="n"/>
      <c r="B44" s="18" t="n"/>
      <c r="C44" s="6" t="n"/>
      <c r="D44" s="6" t="n"/>
      <c r="E44" s="6" t="n"/>
      <c r="F44" s="6" t="n"/>
      <c r="G44" s="475" t="n"/>
    </row>
    <row r="45">
      <c r="A45" s="17" t="n"/>
      <c r="B45" s="18" t="n"/>
      <c r="C45" s="6" t="n"/>
      <c r="D45" s="6" t="n"/>
      <c r="E45" s="6" t="n"/>
      <c r="F45" s="6" t="n"/>
      <c r="G45" s="475" t="n"/>
    </row>
    <row r="46">
      <c r="A46" s="19" t="n"/>
      <c r="B46" s="20" t="n"/>
      <c r="C46" s="6" t="n"/>
      <c r="D46" s="6" t="n"/>
      <c r="E46" s="6" t="n"/>
      <c r="F46" s="6" t="n"/>
      <c r="G46" s="476" t="n"/>
    </row>
    <row r="47">
      <c r="A47" s="17" t="n"/>
      <c r="B47" s="18" t="n"/>
      <c r="C47" s="6" t="n"/>
      <c r="D47" s="6" t="n"/>
      <c r="E47" s="6" t="n"/>
      <c r="F47" s="6" t="n"/>
      <c r="G47" s="475" t="n"/>
    </row>
    <row r="48">
      <c r="A48" s="19" t="n"/>
      <c r="B48" s="20" t="n"/>
      <c r="C48" s="6" t="n"/>
      <c r="D48" s="6" t="n"/>
      <c r="E48" s="6" t="n"/>
      <c r="F48" s="6" t="n"/>
      <c r="G48" s="476" t="n"/>
    </row>
    <row r="49">
      <c r="A49" s="17" t="n"/>
      <c r="B49" s="18" t="n"/>
      <c r="C49" s="6" t="n"/>
      <c r="D49" s="6" t="n"/>
      <c r="E49" s="6" t="n"/>
      <c r="F49" s="6" t="n"/>
      <c r="G49" s="475" t="n"/>
    </row>
    <row r="50">
      <c r="A50" s="19" t="n"/>
      <c r="B50" s="20" t="n"/>
      <c r="C50" s="6" t="n"/>
      <c r="D50" s="6" t="n"/>
      <c r="E50" s="6" t="n"/>
      <c r="F50" s="6" t="n"/>
      <c r="G50" s="476" t="n"/>
    </row>
    <row r="51">
      <c r="A51" s="17" t="n"/>
      <c r="B51" s="18" t="n"/>
      <c r="C51" s="6" t="n"/>
      <c r="D51" s="6" t="n"/>
      <c r="E51" s="6" t="n"/>
      <c r="F51" s="6" t="n"/>
      <c r="G51" s="475" t="n"/>
    </row>
    <row r="52">
      <c r="A52" s="17" t="n"/>
      <c r="B52" s="18" t="n"/>
      <c r="C52" s="6" t="n"/>
      <c r="D52" s="6" t="n"/>
      <c r="E52" s="6" t="n"/>
      <c r="F52" s="6" t="n"/>
      <c r="G52" s="475" t="n"/>
    </row>
    <row r="53">
      <c r="A53" s="17" t="n"/>
      <c r="B53" s="18" t="n"/>
      <c r="C53" s="6" t="n"/>
      <c r="D53" s="6" t="n"/>
      <c r="E53" s="6" t="n"/>
      <c r="F53" s="6" t="n"/>
      <c r="G53" s="475" t="n"/>
    </row>
    <row r="54">
      <c r="A54" s="17" t="n"/>
      <c r="B54" s="18" t="n"/>
      <c r="C54" s="6" t="n"/>
      <c r="D54" s="6" t="n"/>
      <c r="E54" s="6" t="n"/>
      <c r="F54" s="6" t="n"/>
      <c r="G54" s="475" t="n"/>
    </row>
    <row r="55">
      <c r="A55" s="17" t="n"/>
      <c r="B55" s="18" t="n"/>
      <c r="C55" s="6" t="n"/>
      <c r="D55" s="6" t="n"/>
      <c r="E55" s="6" t="n"/>
      <c r="F55" s="6" t="n"/>
      <c r="G55" s="475" t="n"/>
    </row>
    <row r="56">
      <c r="A56" s="17" t="n"/>
      <c r="B56" s="18" t="n"/>
      <c r="C56" s="6" t="n"/>
      <c r="D56" s="6" t="n"/>
      <c r="E56" s="6" t="n"/>
      <c r="F56" s="6" t="n"/>
      <c r="G56" s="475" t="n"/>
    </row>
  </sheetData>
  <mergeCells count="6">
    <mergeCell ref="B12:E12"/>
    <mergeCell ref="F25:G25"/>
    <mergeCell ref="A4:G4"/>
    <mergeCell ref="C27:G27"/>
    <mergeCell ref="A31:B31"/>
    <mergeCell ref="A34:B34"/>
  </mergeCells>
  <pageMargins left="0.7" right="0.7" top="0.75" bottom="0.75" header="0.3" footer="0.3"/>
  <pageSetup orientation="portrait" paperSize="9" scale="67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44"/>
  <sheetViews>
    <sheetView tabSelected="1" zoomScale="85" zoomScaleNormal="85" workbookViewId="0">
      <selection activeCell="G4" sqref="G4"/>
    </sheetView>
  </sheetViews>
  <sheetFormatPr baseColWidth="8" defaultColWidth="11.42578125" defaultRowHeight="12.75"/>
  <cols>
    <col width="9" customWidth="1" style="43" min="1" max="1"/>
    <col width="73.140625" customWidth="1" style="45" min="2" max="2"/>
    <col width="13.140625" customWidth="1" style="70" min="3" max="3"/>
    <col width="20.140625" customWidth="1" style="70" min="4" max="4"/>
    <col width="15.85546875" customWidth="1" style="481" min="5" max="5"/>
    <col width="13.28515625" customWidth="1" style="482" min="6" max="6"/>
    <col width="23.42578125" customWidth="1" style="483" min="7" max="7"/>
    <col hidden="1" width="3.5703125" customWidth="1" style="483" min="8" max="8"/>
    <col hidden="1" width="4.140625" customWidth="1" style="483" min="9" max="9"/>
    <col hidden="1" width="8.85546875" customWidth="1" style="483" min="10" max="10"/>
    <col width="12.5703125" customWidth="1" style="483" min="11" max="11"/>
    <col width="39.140625" customWidth="1" style="144" min="12" max="12"/>
    <col width="12.5703125" customWidth="1" style="45" min="13" max="13"/>
    <col width="11.42578125" customWidth="1" style="46" min="14" max="37"/>
    <col width="11.42578125" customWidth="1" style="46" min="38" max="191"/>
    <col hidden="1" width="13" customWidth="1" style="46" min="192" max="192"/>
    <col width="9" customWidth="1" style="46" min="193" max="193"/>
    <col hidden="1" width="13" customWidth="1" style="46" min="194" max="194"/>
    <col width="78" customWidth="1" style="46" min="195" max="195"/>
    <col width="14.28515625" customWidth="1" style="46" min="196" max="196"/>
    <col width="12.42578125" customWidth="1" style="46" min="197" max="197"/>
    <col width="19" customWidth="1" style="46" min="198" max="198"/>
    <col width="11.28515625" customWidth="1" style="46" min="199" max="199"/>
    <col width="19" customWidth="1" style="46" min="200" max="200"/>
    <col width="2.140625" customWidth="1" style="46" min="201" max="201"/>
    <col width="19" customWidth="1" style="46" min="202" max="202"/>
    <col width="37.42578125" customWidth="1" style="46" min="203" max="203"/>
    <col width="11.42578125" customWidth="1" style="46" min="204" max="293"/>
    <col width="11.42578125" customWidth="1" style="46" min="294" max="447"/>
    <col hidden="1" width="13" customWidth="1" style="46" min="448" max="448"/>
    <col width="9" customWidth="1" style="46" min="449" max="449"/>
    <col hidden="1" width="13" customWidth="1" style="46" min="450" max="450"/>
    <col width="78" customWidth="1" style="46" min="451" max="451"/>
    <col width="14.28515625" customWidth="1" style="46" min="452" max="452"/>
    <col width="12.42578125" customWidth="1" style="46" min="453" max="453"/>
    <col width="19" customWidth="1" style="46" min="454" max="454"/>
    <col width="11.28515625" customWidth="1" style="46" min="455" max="455"/>
    <col width="19" customWidth="1" style="46" min="456" max="456"/>
    <col width="2.140625" customWidth="1" style="46" min="457" max="457"/>
    <col width="19" customWidth="1" style="46" min="458" max="458"/>
    <col width="37.42578125" customWidth="1" style="46" min="459" max="459"/>
    <col width="11.42578125" customWidth="1" style="46" min="460" max="549"/>
    <col width="11.42578125" customWidth="1" style="46" min="550" max="703"/>
    <col hidden="1" width="13" customWidth="1" style="46" min="704" max="704"/>
    <col width="9" customWidth="1" style="46" min="705" max="705"/>
    <col hidden="1" width="13" customWidth="1" style="46" min="706" max="706"/>
    <col width="78" customWidth="1" style="46" min="707" max="707"/>
    <col width="14.28515625" customWidth="1" style="46" min="708" max="708"/>
    <col width="12.42578125" customWidth="1" style="46" min="709" max="709"/>
    <col width="19" customWidth="1" style="46" min="710" max="710"/>
    <col width="11.28515625" customWidth="1" style="46" min="711" max="711"/>
    <col width="19" customWidth="1" style="46" min="712" max="712"/>
    <col width="2.140625" customWidth="1" style="46" min="713" max="713"/>
    <col width="19" customWidth="1" style="46" min="714" max="714"/>
    <col width="37.42578125" customWidth="1" style="46" min="715" max="715"/>
    <col width="11.42578125" customWidth="1" style="46" min="716" max="805"/>
    <col width="11.42578125" customWidth="1" style="46" min="806" max="959"/>
    <col hidden="1" width="13" customWidth="1" style="46" min="960" max="960"/>
    <col width="9" customWidth="1" style="46" min="961" max="961"/>
    <col hidden="1" width="13" customWidth="1" style="46" min="962" max="962"/>
    <col width="78" customWidth="1" style="46" min="963" max="963"/>
    <col width="14.28515625" customWidth="1" style="46" min="964" max="964"/>
    <col width="12.42578125" customWidth="1" style="46" min="965" max="965"/>
    <col width="19" customWidth="1" style="46" min="966" max="966"/>
    <col width="11.28515625" customWidth="1" style="46" min="967" max="967"/>
    <col width="19" customWidth="1" style="46" min="968" max="968"/>
    <col width="2.140625" customWidth="1" style="46" min="969" max="969"/>
    <col width="19" customWidth="1" style="46" min="970" max="970"/>
    <col width="37.42578125" customWidth="1" style="46" min="971" max="971"/>
    <col width="11.42578125" customWidth="1" style="46" min="972" max="1061"/>
    <col width="11.42578125" customWidth="1" style="46" min="1062" max="1215"/>
    <col hidden="1" width="13" customWidth="1" style="46" min="1216" max="1216"/>
    <col width="9" customWidth="1" style="46" min="1217" max="1217"/>
    <col hidden="1" width="13" customWidth="1" style="46" min="1218" max="1218"/>
    <col width="78" customWidth="1" style="46" min="1219" max="1219"/>
    <col width="14.28515625" customWidth="1" style="46" min="1220" max="1220"/>
    <col width="12.42578125" customWidth="1" style="46" min="1221" max="1221"/>
    <col width="19" customWidth="1" style="46" min="1222" max="1222"/>
    <col width="11.28515625" customWidth="1" style="46" min="1223" max="1223"/>
    <col width="19" customWidth="1" style="46" min="1224" max="1224"/>
    <col width="2.140625" customWidth="1" style="46" min="1225" max="1225"/>
    <col width="19" customWidth="1" style="46" min="1226" max="1226"/>
    <col width="37.42578125" customWidth="1" style="46" min="1227" max="1227"/>
    <col width="11.42578125" customWidth="1" style="46" min="1228" max="1317"/>
    <col width="11.42578125" customWidth="1" style="46" min="1318" max="1471"/>
    <col hidden="1" width="13" customWidth="1" style="46" min="1472" max="1472"/>
    <col width="9" customWidth="1" style="46" min="1473" max="1473"/>
    <col hidden="1" width="13" customWidth="1" style="46" min="1474" max="1474"/>
    <col width="78" customWidth="1" style="46" min="1475" max="1475"/>
    <col width="14.28515625" customWidth="1" style="46" min="1476" max="1476"/>
    <col width="12.42578125" customWidth="1" style="46" min="1477" max="1477"/>
    <col width="19" customWidth="1" style="46" min="1478" max="1478"/>
    <col width="11.28515625" customWidth="1" style="46" min="1479" max="1479"/>
    <col width="19" customWidth="1" style="46" min="1480" max="1480"/>
    <col width="2.140625" customWidth="1" style="46" min="1481" max="1481"/>
    <col width="19" customWidth="1" style="46" min="1482" max="1482"/>
    <col width="37.42578125" customWidth="1" style="46" min="1483" max="1483"/>
    <col width="11.42578125" customWidth="1" style="46" min="1484" max="1573"/>
    <col width="11.42578125" customWidth="1" style="46" min="1574" max="1727"/>
    <col hidden="1" width="13" customWidth="1" style="46" min="1728" max="1728"/>
    <col width="9" customWidth="1" style="46" min="1729" max="1729"/>
    <col hidden="1" width="13" customWidth="1" style="46" min="1730" max="1730"/>
    <col width="78" customWidth="1" style="46" min="1731" max="1731"/>
    <col width="14.28515625" customWidth="1" style="46" min="1732" max="1732"/>
    <col width="12.42578125" customWidth="1" style="46" min="1733" max="1733"/>
    <col width="19" customWidth="1" style="46" min="1734" max="1734"/>
    <col width="11.28515625" customWidth="1" style="46" min="1735" max="1735"/>
    <col width="19" customWidth="1" style="46" min="1736" max="1736"/>
    <col width="2.140625" customWidth="1" style="46" min="1737" max="1737"/>
    <col width="19" customWidth="1" style="46" min="1738" max="1738"/>
    <col width="37.42578125" customWidth="1" style="46" min="1739" max="1739"/>
    <col width="11.42578125" customWidth="1" style="46" min="1740" max="1829"/>
    <col width="11.42578125" customWidth="1" style="46" min="1830" max="1983"/>
    <col hidden="1" width="13" customWidth="1" style="46" min="1984" max="1984"/>
    <col width="9" customWidth="1" style="46" min="1985" max="1985"/>
    <col hidden="1" width="13" customWidth="1" style="46" min="1986" max="1986"/>
    <col width="78" customWidth="1" style="46" min="1987" max="1987"/>
    <col width="14.28515625" customWidth="1" style="46" min="1988" max="1988"/>
    <col width="12.42578125" customWidth="1" style="46" min="1989" max="1989"/>
    <col width="19" customWidth="1" style="46" min="1990" max="1990"/>
    <col width="11.28515625" customWidth="1" style="46" min="1991" max="1991"/>
    <col width="19" customWidth="1" style="46" min="1992" max="1992"/>
    <col width="2.140625" customWidth="1" style="46" min="1993" max="1993"/>
    <col width="19" customWidth="1" style="46" min="1994" max="1994"/>
    <col width="37.42578125" customWidth="1" style="46" min="1995" max="1995"/>
    <col width="11.42578125" customWidth="1" style="46" min="1996" max="2085"/>
    <col width="11.42578125" customWidth="1" style="46" min="2086" max="2239"/>
    <col hidden="1" width="13" customWidth="1" style="46" min="2240" max="2240"/>
    <col width="9" customWidth="1" style="46" min="2241" max="2241"/>
    <col hidden="1" width="13" customWidth="1" style="46" min="2242" max="2242"/>
    <col width="78" customWidth="1" style="46" min="2243" max="2243"/>
    <col width="14.28515625" customWidth="1" style="46" min="2244" max="2244"/>
    <col width="12.42578125" customWidth="1" style="46" min="2245" max="2245"/>
    <col width="19" customWidth="1" style="46" min="2246" max="2246"/>
    <col width="11.28515625" customWidth="1" style="46" min="2247" max="2247"/>
    <col width="19" customWidth="1" style="46" min="2248" max="2248"/>
    <col width="2.140625" customWidth="1" style="46" min="2249" max="2249"/>
    <col width="19" customWidth="1" style="46" min="2250" max="2250"/>
    <col width="37.42578125" customWidth="1" style="46" min="2251" max="2251"/>
    <col width="11.42578125" customWidth="1" style="46" min="2252" max="2341"/>
    <col width="11.42578125" customWidth="1" style="46" min="2342" max="2495"/>
    <col hidden="1" width="13" customWidth="1" style="46" min="2496" max="2496"/>
    <col width="9" customWidth="1" style="46" min="2497" max="2497"/>
    <col hidden="1" width="13" customWidth="1" style="46" min="2498" max="2498"/>
    <col width="78" customWidth="1" style="46" min="2499" max="2499"/>
    <col width="14.28515625" customWidth="1" style="46" min="2500" max="2500"/>
    <col width="12.42578125" customWidth="1" style="46" min="2501" max="2501"/>
    <col width="19" customWidth="1" style="46" min="2502" max="2502"/>
    <col width="11.28515625" customWidth="1" style="46" min="2503" max="2503"/>
    <col width="19" customWidth="1" style="46" min="2504" max="2504"/>
    <col width="2.140625" customWidth="1" style="46" min="2505" max="2505"/>
    <col width="19" customWidth="1" style="46" min="2506" max="2506"/>
    <col width="37.42578125" customWidth="1" style="46" min="2507" max="2507"/>
    <col width="11.42578125" customWidth="1" style="46" min="2508" max="2597"/>
    <col width="11.42578125" customWidth="1" style="46" min="2598" max="2751"/>
    <col hidden="1" width="13" customWidth="1" style="46" min="2752" max="2752"/>
    <col width="9" customWidth="1" style="46" min="2753" max="2753"/>
    <col hidden="1" width="13" customWidth="1" style="46" min="2754" max="2754"/>
    <col width="78" customWidth="1" style="46" min="2755" max="2755"/>
    <col width="14.28515625" customWidth="1" style="46" min="2756" max="2756"/>
    <col width="12.42578125" customWidth="1" style="46" min="2757" max="2757"/>
    <col width="19" customWidth="1" style="46" min="2758" max="2758"/>
    <col width="11.28515625" customWidth="1" style="46" min="2759" max="2759"/>
    <col width="19" customWidth="1" style="46" min="2760" max="2760"/>
    <col width="2.140625" customWidth="1" style="46" min="2761" max="2761"/>
    <col width="19" customWidth="1" style="46" min="2762" max="2762"/>
    <col width="37.42578125" customWidth="1" style="46" min="2763" max="2763"/>
    <col width="11.42578125" customWidth="1" style="46" min="2764" max="2853"/>
    <col width="11.42578125" customWidth="1" style="46" min="2854" max="3007"/>
    <col hidden="1" width="13" customWidth="1" style="46" min="3008" max="3008"/>
    <col width="9" customWidth="1" style="46" min="3009" max="3009"/>
    <col hidden="1" width="13" customWidth="1" style="46" min="3010" max="3010"/>
    <col width="78" customWidth="1" style="46" min="3011" max="3011"/>
    <col width="14.28515625" customWidth="1" style="46" min="3012" max="3012"/>
    <col width="12.42578125" customWidth="1" style="46" min="3013" max="3013"/>
    <col width="19" customWidth="1" style="46" min="3014" max="3014"/>
    <col width="11.28515625" customWidth="1" style="46" min="3015" max="3015"/>
    <col width="19" customWidth="1" style="46" min="3016" max="3016"/>
    <col width="2.140625" customWidth="1" style="46" min="3017" max="3017"/>
    <col width="19" customWidth="1" style="46" min="3018" max="3018"/>
    <col width="37.42578125" customWidth="1" style="46" min="3019" max="3019"/>
    <col width="11.42578125" customWidth="1" style="46" min="3020" max="3109"/>
    <col width="11.42578125" customWidth="1" style="46" min="3110" max="3263"/>
    <col hidden="1" width="13" customWidth="1" style="46" min="3264" max="3264"/>
    <col width="9" customWidth="1" style="46" min="3265" max="3265"/>
    <col hidden="1" width="13" customWidth="1" style="46" min="3266" max="3266"/>
    <col width="78" customWidth="1" style="46" min="3267" max="3267"/>
    <col width="14.28515625" customWidth="1" style="46" min="3268" max="3268"/>
    <col width="12.42578125" customWidth="1" style="46" min="3269" max="3269"/>
    <col width="19" customWidth="1" style="46" min="3270" max="3270"/>
    <col width="11.28515625" customWidth="1" style="46" min="3271" max="3271"/>
    <col width="19" customWidth="1" style="46" min="3272" max="3272"/>
    <col width="2.140625" customWidth="1" style="46" min="3273" max="3273"/>
    <col width="19" customWidth="1" style="46" min="3274" max="3274"/>
    <col width="37.42578125" customWidth="1" style="46" min="3275" max="3275"/>
    <col width="11.42578125" customWidth="1" style="46" min="3276" max="3365"/>
    <col width="11.42578125" customWidth="1" style="46" min="3366" max="3519"/>
    <col hidden="1" width="13" customWidth="1" style="46" min="3520" max="3520"/>
    <col width="9" customWidth="1" style="46" min="3521" max="3521"/>
    <col hidden="1" width="13" customWidth="1" style="46" min="3522" max="3522"/>
    <col width="78" customWidth="1" style="46" min="3523" max="3523"/>
    <col width="14.28515625" customWidth="1" style="46" min="3524" max="3524"/>
    <col width="12.42578125" customWidth="1" style="46" min="3525" max="3525"/>
    <col width="19" customWidth="1" style="46" min="3526" max="3526"/>
    <col width="11.28515625" customWidth="1" style="46" min="3527" max="3527"/>
    <col width="19" customWidth="1" style="46" min="3528" max="3528"/>
    <col width="2.140625" customWidth="1" style="46" min="3529" max="3529"/>
    <col width="19" customWidth="1" style="46" min="3530" max="3530"/>
    <col width="37.42578125" customWidth="1" style="46" min="3531" max="3531"/>
    <col width="11.42578125" customWidth="1" style="46" min="3532" max="3621"/>
    <col width="11.42578125" customWidth="1" style="46" min="3622" max="3775"/>
    <col hidden="1" width="13" customWidth="1" style="46" min="3776" max="3776"/>
    <col width="9" customWidth="1" style="46" min="3777" max="3777"/>
    <col hidden="1" width="13" customWidth="1" style="46" min="3778" max="3778"/>
    <col width="78" customWidth="1" style="46" min="3779" max="3779"/>
    <col width="14.28515625" customWidth="1" style="46" min="3780" max="3780"/>
    <col width="12.42578125" customWidth="1" style="46" min="3781" max="3781"/>
    <col width="19" customWidth="1" style="46" min="3782" max="3782"/>
    <col width="11.28515625" customWidth="1" style="46" min="3783" max="3783"/>
    <col width="19" customWidth="1" style="46" min="3784" max="3784"/>
    <col width="2.140625" customWidth="1" style="46" min="3785" max="3785"/>
    <col width="19" customWidth="1" style="46" min="3786" max="3786"/>
    <col width="37.42578125" customWidth="1" style="46" min="3787" max="3787"/>
    <col width="11.42578125" customWidth="1" style="46" min="3788" max="3877"/>
    <col width="11.42578125" customWidth="1" style="46" min="3878" max="4031"/>
    <col hidden="1" width="13" customWidth="1" style="46" min="4032" max="4032"/>
    <col width="9" customWidth="1" style="46" min="4033" max="4033"/>
    <col hidden="1" width="13" customWidth="1" style="46" min="4034" max="4034"/>
    <col width="78" customWidth="1" style="46" min="4035" max="4035"/>
    <col width="14.28515625" customWidth="1" style="46" min="4036" max="4036"/>
    <col width="12.42578125" customWidth="1" style="46" min="4037" max="4037"/>
    <col width="19" customWidth="1" style="46" min="4038" max="4038"/>
    <col width="11.28515625" customWidth="1" style="46" min="4039" max="4039"/>
    <col width="19" customWidth="1" style="46" min="4040" max="4040"/>
    <col width="2.140625" customWidth="1" style="46" min="4041" max="4041"/>
    <col width="19" customWidth="1" style="46" min="4042" max="4042"/>
    <col width="37.42578125" customWidth="1" style="46" min="4043" max="4043"/>
    <col width="11.42578125" customWidth="1" style="46" min="4044" max="4133"/>
    <col width="11.42578125" customWidth="1" style="46" min="4134" max="4287"/>
    <col hidden="1" width="13" customWidth="1" style="46" min="4288" max="4288"/>
    <col width="9" customWidth="1" style="46" min="4289" max="4289"/>
    <col hidden="1" width="13" customWidth="1" style="46" min="4290" max="4290"/>
    <col width="78" customWidth="1" style="46" min="4291" max="4291"/>
    <col width="14.28515625" customWidth="1" style="46" min="4292" max="4292"/>
    <col width="12.42578125" customWidth="1" style="46" min="4293" max="4293"/>
    <col width="19" customWidth="1" style="46" min="4294" max="4294"/>
    <col width="11.28515625" customWidth="1" style="46" min="4295" max="4295"/>
    <col width="19" customWidth="1" style="46" min="4296" max="4296"/>
    <col width="2.140625" customWidth="1" style="46" min="4297" max="4297"/>
    <col width="19" customWidth="1" style="46" min="4298" max="4298"/>
    <col width="37.42578125" customWidth="1" style="46" min="4299" max="4299"/>
    <col width="11.42578125" customWidth="1" style="46" min="4300" max="4389"/>
    <col width="11.42578125" customWidth="1" style="46" min="4390" max="4543"/>
    <col hidden="1" width="13" customWidth="1" style="46" min="4544" max="4544"/>
    <col width="9" customWidth="1" style="46" min="4545" max="4545"/>
    <col hidden="1" width="13" customWidth="1" style="46" min="4546" max="4546"/>
    <col width="78" customWidth="1" style="46" min="4547" max="4547"/>
    <col width="14.28515625" customWidth="1" style="46" min="4548" max="4548"/>
    <col width="12.42578125" customWidth="1" style="46" min="4549" max="4549"/>
    <col width="19" customWidth="1" style="46" min="4550" max="4550"/>
    <col width="11.28515625" customWidth="1" style="46" min="4551" max="4551"/>
    <col width="19" customWidth="1" style="46" min="4552" max="4552"/>
    <col width="2.140625" customWidth="1" style="46" min="4553" max="4553"/>
    <col width="19" customWidth="1" style="46" min="4554" max="4554"/>
    <col width="37.42578125" customWidth="1" style="46" min="4555" max="4555"/>
    <col width="11.42578125" customWidth="1" style="46" min="4556" max="4645"/>
    <col width="11.42578125" customWidth="1" style="46" min="4646" max="4799"/>
    <col hidden="1" width="13" customWidth="1" style="46" min="4800" max="4800"/>
    <col width="9" customWidth="1" style="46" min="4801" max="4801"/>
    <col hidden="1" width="13" customWidth="1" style="46" min="4802" max="4802"/>
    <col width="78" customWidth="1" style="46" min="4803" max="4803"/>
    <col width="14.28515625" customWidth="1" style="46" min="4804" max="4804"/>
    <col width="12.42578125" customWidth="1" style="46" min="4805" max="4805"/>
    <col width="19" customWidth="1" style="46" min="4806" max="4806"/>
    <col width="11.28515625" customWidth="1" style="46" min="4807" max="4807"/>
    <col width="19" customWidth="1" style="46" min="4808" max="4808"/>
    <col width="2.140625" customWidth="1" style="46" min="4809" max="4809"/>
    <col width="19" customWidth="1" style="46" min="4810" max="4810"/>
    <col width="37.42578125" customWidth="1" style="46" min="4811" max="4811"/>
    <col width="11.42578125" customWidth="1" style="46" min="4812" max="4901"/>
    <col width="11.42578125" customWidth="1" style="46" min="4902" max="5055"/>
    <col hidden="1" width="13" customWidth="1" style="46" min="5056" max="5056"/>
    <col width="9" customWidth="1" style="46" min="5057" max="5057"/>
    <col hidden="1" width="13" customWidth="1" style="46" min="5058" max="5058"/>
    <col width="78" customWidth="1" style="46" min="5059" max="5059"/>
    <col width="14.28515625" customWidth="1" style="46" min="5060" max="5060"/>
    <col width="12.42578125" customWidth="1" style="46" min="5061" max="5061"/>
    <col width="19" customWidth="1" style="46" min="5062" max="5062"/>
    <col width="11.28515625" customWidth="1" style="46" min="5063" max="5063"/>
    <col width="19" customWidth="1" style="46" min="5064" max="5064"/>
    <col width="2.140625" customWidth="1" style="46" min="5065" max="5065"/>
    <col width="19" customWidth="1" style="46" min="5066" max="5066"/>
    <col width="37.42578125" customWidth="1" style="46" min="5067" max="5067"/>
    <col width="11.42578125" customWidth="1" style="46" min="5068" max="5157"/>
    <col width="11.42578125" customWidth="1" style="46" min="5158" max="5311"/>
    <col hidden="1" width="13" customWidth="1" style="46" min="5312" max="5312"/>
    <col width="9" customWidth="1" style="46" min="5313" max="5313"/>
    <col hidden="1" width="13" customWidth="1" style="46" min="5314" max="5314"/>
    <col width="78" customWidth="1" style="46" min="5315" max="5315"/>
    <col width="14.28515625" customWidth="1" style="46" min="5316" max="5316"/>
    <col width="12.42578125" customWidth="1" style="46" min="5317" max="5317"/>
    <col width="19" customWidth="1" style="46" min="5318" max="5318"/>
    <col width="11.28515625" customWidth="1" style="46" min="5319" max="5319"/>
    <col width="19" customWidth="1" style="46" min="5320" max="5320"/>
    <col width="2.140625" customWidth="1" style="46" min="5321" max="5321"/>
    <col width="19" customWidth="1" style="46" min="5322" max="5322"/>
    <col width="37.42578125" customWidth="1" style="46" min="5323" max="5323"/>
    <col width="11.42578125" customWidth="1" style="46" min="5324" max="5413"/>
    <col width="11.42578125" customWidth="1" style="46" min="5414" max="5567"/>
    <col hidden="1" width="13" customWidth="1" style="46" min="5568" max="5568"/>
    <col width="9" customWidth="1" style="46" min="5569" max="5569"/>
    <col hidden="1" width="13" customWidth="1" style="46" min="5570" max="5570"/>
    <col width="78" customWidth="1" style="46" min="5571" max="5571"/>
    <col width="14.28515625" customWidth="1" style="46" min="5572" max="5572"/>
    <col width="12.42578125" customWidth="1" style="46" min="5573" max="5573"/>
    <col width="19" customWidth="1" style="46" min="5574" max="5574"/>
    <col width="11.28515625" customWidth="1" style="46" min="5575" max="5575"/>
    <col width="19" customWidth="1" style="46" min="5576" max="5576"/>
    <col width="2.140625" customWidth="1" style="46" min="5577" max="5577"/>
    <col width="19" customWidth="1" style="46" min="5578" max="5578"/>
    <col width="37.42578125" customWidth="1" style="46" min="5579" max="5579"/>
    <col width="11.42578125" customWidth="1" style="46" min="5580" max="5669"/>
    <col width="11.42578125" customWidth="1" style="46" min="5670" max="5823"/>
    <col hidden="1" width="13" customWidth="1" style="46" min="5824" max="5824"/>
    <col width="9" customWidth="1" style="46" min="5825" max="5825"/>
    <col hidden="1" width="13" customWidth="1" style="46" min="5826" max="5826"/>
    <col width="78" customWidth="1" style="46" min="5827" max="5827"/>
    <col width="14.28515625" customWidth="1" style="46" min="5828" max="5828"/>
    <col width="12.42578125" customWidth="1" style="46" min="5829" max="5829"/>
    <col width="19" customWidth="1" style="46" min="5830" max="5830"/>
    <col width="11.28515625" customWidth="1" style="46" min="5831" max="5831"/>
    <col width="19" customWidth="1" style="46" min="5832" max="5832"/>
    <col width="2.140625" customWidth="1" style="46" min="5833" max="5833"/>
    <col width="19" customWidth="1" style="46" min="5834" max="5834"/>
    <col width="37.42578125" customWidth="1" style="46" min="5835" max="5835"/>
    <col width="11.42578125" customWidth="1" style="46" min="5836" max="5925"/>
    <col width="11.42578125" customWidth="1" style="46" min="5926" max="6079"/>
    <col hidden="1" width="13" customWidth="1" style="46" min="6080" max="6080"/>
    <col width="9" customWidth="1" style="46" min="6081" max="6081"/>
    <col hidden="1" width="13" customWidth="1" style="46" min="6082" max="6082"/>
    <col width="78" customWidth="1" style="46" min="6083" max="6083"/>
    <col width="14.28515625" customWidth="1" style="46" min="6084" max="6084"/>
    <col width="12.42578125" customWidth="1" style="46" min="6085" max="6085"/>
    <col width="19" customWidth="1" style="46" min="6086" max="6086"/>
    <col width="11.28515625" customWidth="1" style="46" min="6087" max="6087"/>
    <col width="19" customWidth="1" style="46" min="6088" max="6088"/>
    <col width="2.140625" customWidth="1" style="46" min="6089" max="6089"/>
    <col width="19" customWidth="1" style="46" min="6090" max="6090"/>
    <col width="37.42578125" customWidth="1" style="46" min="6091" max="6091"/>
    <col width="11.42578125" customWidth="1" style="46" min="6092" max="6181"/>
    <col width="11.42578125" customWidth="1" style="46" min="6182" max="6335"/>
    <col hidden="1" width="13" customWidth="1" style="46" min="6336" max="6336"/>
    <col width="9" customWidth="1" style="46" min="6337" max="6337"/>
    <col hidden="1" width="13" customWidth="1" style="46" min="6338" max="6338"/>
    <col width="78" customWidth="1" style="46" min="6339" max="6339"/>
    <col width="14.28515625" customWidth="1" style="46" min="6340" max="6340"/>
    <col width="12.42578125" customWidth="1" style="46" min="6341" max="6341"/>
    <col width="19" customWidth="1" style="46" min="6342" max="6342"/>
    <col width="11.28515625" customWidth="1" style="46" min="6343" max="6343"/>
    <col width="19" customWidth="1" style="46" min="6344" max="6344"/>
    <col width="2.140625" customWidth="1" style="46" min="6345" max="6345"/>
    <col width="19" customWidth="1" style="46" min="6346" max="6346"/>
    <col width="37.42578125" customWidth="1" style="46" min="6347" max="6347"/>
    <col width="11.42578125" customWidth="1" style="46" min="6348" max="6437"/>
    <col width="11.42578125" customWidth="1" style="46" min="6438" max="6591"/>
    <col hidden="1" width="13" customWidth="1" style="46" min="6592" max="6592"/>
    <col width="9" customWidth="1" style="46" min="6593" max="6593"/>
    <col hidden="1" width="13" customWidth="1" style="46" min="6594" max="6594"/>
    <col width="78" customWidth="1" style="46" min="6595" max="6595"/>
    <col width="14.28515625" customWidth="1" style="46" min="6596" max="6596"/>
    <col width="12.42578125" customWidth="1" style="46" min="6597" max="6597"/>
    <col width="19" customWidth="1" style="46" min="6598" max="6598"/>
    <col width="11.28515625" customWidth="1" style="46" min="6599" max="6599"/>
    <col width="19" customWidth="1" style="46" min="6600" max="6600"/>
    <col width="2.140625" customWidth="1" style="46" min="6601" max="6601"/>
    <col width="19" customWidth="1" style="46" min="6602" max="6602"/>
    <col width="37.42578125" customWidth="1" style="46" min="6603" max="6603"/>
    <col width="11.42578125" customWidth="1" style="46" min="6604" max="6693"/>
    <col width="11.42578125" customWidth="1" style="46" min="6694" max="6847"/>
    <col hidden="1" width="13" customWidth="1" style="46" min="6848" max="6848"/>
    <col width="9" customWidth="1" style="46" min="6849" max="6849"/>
    <col hidden="1" width="13" customWidth="1" style="46" min="6850" max="6850"/>
    <col width="78" customWidth="1" style="46" min="6851" max="6851"/>
    <col width="14.28515625" customWidth="1" style="46" min="6852" max="6852"/>
    <col width="12.42578125" customWidth="1" style="46" min="6853" max="6853"/>
    <col width="19" customWidth="1" style="46" min="6854" max="6854"/>
    <col width="11.28515625" customWidth="1" style="46" min="6855" max="6855"/>
    <col width="19" customWidth="1" style="46" min="6856" max="6856"/>
    <col width="2.140625" customWidth="1" style="46" min="6857" max="6857"/>
    <col width="19" customWidth="1" style="46" min="6858" max="6858"/>
    <col width="37.42578125" customWidth="1" style="46" min="6859" max="6859"/>
    <col width="11.42578125" customWidth="1" style="46" min="6860" max="6949"/>
    <col width="11.42578125" customWidth="1" style="46" min="6950" max="7103"/>
    <col hidden="1" width="13" customWidth="1" style="46" min="7104" max="7104"/>
    <col width="9" customWidth="1" style="46" min="7105" max="7105"/>
    <col hidden="1" width="13" customWidth="1" style="46" min="7106" max="7106"/>
    <col width="78" customWidth="1" style="46" min="7107" max="7107"/>
    <col width="14.28515625" customWidth="1" style="46" min="7108" max="7108"/>
    <col width="12.42578125" customWidth="1" style="46" min="7109" max="7109"/>
    <col width="19" customWidth="1" style="46" min="7110" max="7110"/>
    <col width="11.28515625" customWidth="1" style="46" min="7111" max="7111"/>
    <col width="19" customWidth="1" style="46" min="7112" max="7112"/>
    <col width="2.140625" customWidth="1" style="46" min="7113" max="7113"/>
    <col width="19" customWidth="1" style="46" min="7114" max="7114"/>
    <col width="37.42578125" customWidth="1" style="46" min="7115" max="7115"/>
    <col width="11.42578125" customWidth="1" style="46" min="7116" max="7205"/>
    <col width="11.42578125" customWidth="1" style="46" min="7206" max="7359"/>
    <col hidden="1" width="13" customWidth="1" style="46" min="7360" max="7360"/>
    <col width="9" customWidth="1" style="46" min="7361" max="7361"/>
    <col hidden="1" width="13" customWidth="1" style="46" min="7362" max="7362"/>
    <col width="78" customWidth="1" style="46" min="7363" max="7363"/>
    <col width="14.28515625" customWidth="1" style="46" min="7364" max="7364"/>
    <col width="12.42578125" customWidth="1" style="46" min="7365" max="7365"/>
    <col width="19" customWidth="1" style="46" min="7366" max="7366"/>
    <col width="11.28515625" customWidth="1" style="46" min="7367" max="7367"/>
    <col width="19" customWidth="1" style="46" min="7368" max="7368"/>
    <col width="2.140625" customWidth="1" style="46" min="7369" max="7369"/>
    <col width="19" customWidth="1" style="46" min="7370" max="7370"/>
    <col width="37.42578125" customWidth="1" style="46" min="7371" max="7371"/>
    <col width="11.42578125" customWidth="1" style="46" min="7372" max="7461"/>
    <col width="11.42578125" customWidth="1" style="46" min="7462" max="7615"/>
    <col hidden="1" width="13" customWidth="1" style="46" min="7616" max="7616"/>
    <col width="9" customWidth="1" style="46" min="7617" max="7617"/>
    <col hidden="1" width="13" customWidth="1" style="46" min="7618" max="7618"/>
    <col width="78" customWidth="1" style="46" min="7619" max="7619"/>
    <col width="14.28515625" customWidth="1" style="46" min="7620" max="7620"/>
    <col width="12.42578125" customWidth="1" style="46" min="7621" max="7621"/>
    <col width="19" customWidth="1" style="46" min="7622" max="7622"/>
    <col width="11.28515625" customWidth="1" style="46" min="7623" max="7623"/>
    <col width="19" customWidth="1" style="46" min="7624" max="7624"/>
    <col width="2.140625" customWidth="1" style="46" min="7625" max="7625"/>
    <col width="19" customWidth="1" style="46" min="7626" max="7626"/>
    <col width="37.42578125" customWidth="1" style="46" min="7627" max="7627"/>
    <col width="11.42578125" customWidth="1" style="46" min="7628" max="7717"/>
    <col width="11.42578125" customWidth="1" style="46" min="7718" max="7871"/>
    <col hidden="1" width="13" customWidth="1" style="46" min="7872" max="7872"/>
    <col width="9" customWidth="1" style="46" min="7873" max="7873"/>
    <col hidden="1" width="13" customWidth="1" style="46" min="7874" max="7874"/>
    <col width="78" customWidth="1" style="46" min="7875" max="7875"/>
    <col width="14.28515625" customWidth="1" style="46" min="7876" max="7876"/>
    <col width="12.42578125" customWidth="1" style="46" min="7877" max="7877"/>
    <col width="19" customWidth="1" style="46" min="7878" max="7878"/>
    <col width="11.28515625" customWidth="1" style="46" min="7879" max="7879"/>
    <col width="19" customWidth="1" style="46" min="7880" max="7880"/>
    <col width="2.140625" customWidth="1" style="46" min="7881" max="7881"/>
    <col width="19" customWidth="1" style="46" min="7882" max="7882"/>
    <col width="37.42578125" customWidth="1" style="46" min="7883" max="7883"/>
    <col width="11.42578125" customWidth="1" style="46" min="7884" max="7973"/>
    <col width="11.42578125" customWidth="1" style="46" min="7974" max="8127"/>
    <col hidden="1" width="13" customWidth="1" style="46" min="8128" max="8128"/>
    <col width="9" customWidth="1" style="46" min="8129" max="8129"/>
    <col hidden="1" width="13" customWidth="1" style="46" min="8130" max="8130"/>
    <col width="78" customWidth="1" style="46" min="8131" max="8131"/>
    <col width="14.28515625" customWidth="1" style="46" min="8132" max="8132"/>
    <col width="12.42578125" customWidth="1" style="46" min="8133" max="8133"/>
    <col width="19" customWidth="1" style="46" min="8134" max="8134"/>
    <col width="11.28515625" customWidth="1" style="46" min="8135" max="8135"/>
    <col width="19" customWidth="1" style="46" min="8136" max="8136"/>
    <col width="2.140625" customWidth="1" style="46" min="8137" max="8137"/>
    <col width="19" customWidth="1" style="46" min="8138" max="8138"/>
    <col width="37.42578125" customWidth="1" style="46" min="8139" max="8139"/>
    <col width="11.42578125" customWidth="1" style="46" min="8140" max="8229"/>
    <col width="11.42578125" customWidth="1" style="46" min="8230" max="8383"/>
    <col hidden="1" width="13" customWidth="1" style="46" min="8384" max="8384"/>
    <col width="9" customWidth="1" style="46" min="8385" max="8385"/>
    <col hidden="1" width="13" customWidth="1" style="46" min="8386" max="8386"/>
    <col width="78" customWidth="1" style="46" min="8387" max="8387"/>
    <col width="14.28515625" customWidth="1" style="46" min="8388" max="8388"/>
    <col width="12.42578125" customWidth="1" style="46" min="8389" max="8389"/>
    <col width="19" customWidth="1" style="46" min="8390" max="8390"/>
    <col width="11.28515625" customWidth="1" style="46" min="8391" max="8391"/>
    <col width="19" customWidth="1" style="46" min="8392" max="8392"/>
    <col width="2.140625" customWidth="1" style="46" min="8393" max="8393"/>
    <col width="19" customWidth="1" style="46" min="8394" max="8394"/>
    <col width="37.42578125" customWidth="1" style="46" min="8395" max="8395"/>
    <col width="11.42578125" customWidth="1" style="46" min="8396" max="8485"/>
    <col width="11.42578125" customWidth="1" style="46" min="8486" max="8639"/>
    <col hidden="1" width="13" customWidth="1" style="46" min="8640" max="8640"/>
    <col width="9" customWidth="1" style="46" min="8641" max="8641"/>
    <col hidden="1" width="13" customWidth="1" style="46" min="8642" max="8642"/>
    <col width="78" customWidth="1" style="46" min="8643" max="8643"/>
    <col width="14.28515625" customWidth="1" style="46" min="8644" max="8644"/>
    <col width="12.42578125" customWidth="1" style="46" min="8645" max="8645"/>
    <col width="19" customWidth="1" style="46" min="8646" max="8646"/>
    <col width="11.28515625" customWidth="1" style="46" min="8647" max="8647"/>
    <col width="19" customWidth="1" style="46" min="8648" max="8648"/>
    <col width="2.140625" customWidth="1" style="46" min="8649" max="8649"/>
    <col width="19" customWidth="1" style="46" min="8650" max="8650"/>
    <col width="37.42578125" customWidth="1" style="46" min="8651" max="8651"/>
    <col width="11.42578125" customWidth="1" style="46" min="8652" max="8741"/>
    <col width="11.42578125" customWidth="1" style="46" min="8742" max="8895"/>
    <col hidden="1" width="13" customWidth="1" style="46" min="8896" max="8896"/>
    <col width="9" customWidth="1" style="46" min="8897" max="8897"/>
    <col hidden="1" width="13" customWidth="1" style="46" min="8898" max="8898"/>
    <col width="78" customWidth="1" style="46" min="8899" max="8899"/>
    <col width="14.28515625" customWidth="1" style="46" min="8900" max="8900"/>
    <col width="12.42578125" customWidth="1" style="46" min="8901" max="8901"/>
    <col width="19" customWidth="1" style="46" min="8902" max="8902"/>
    <col width="11.28515625" customWidth="1" style="46" min="8903" max="8903"/>
    <col width="19" customWidth="1" style="46" min="8904" max="8904"/>
    <col width="2.140625" customWidth="1" style="46" min="8905" max="8905"/>
    <col width="19" customWidth="1" style="46" min="8906" max="8906"/>
    <col width="37.42578125" customWidth="1" style="46" min="8907" max="8907"/>
    <col width="11.42578125" customWidth="1" style="46" min="8908" max="8997"/>
    <col width="11.42578125" customWidth="1" style="46" min="8998" max="9151"/>
    <col hidden="1" width="13" customWidth="1" style="46" min="9152" max="9152"/>
    <col width="9" customWidth="1" style="46" min="9153" max="9153"/>
    <col hidden="1" width="13" customWidth="1" style="46" min="9154" max="9154"/>
    <col width="78" customWidth="1" style="46" min="9155" max="9155"/>
    <col width="14.28515625" customWidth="1" style="46" min="9156" max="9156"/>
    <col width="12.42578125" customWidth="1" style="46" min="9157" max="9157"/>
    <col width="19" customWidth="1" style="46" min="9158" max="9158"/>
    <col width="11.28515625" customWidth="1" style="46" min="9159" max="9159"/>
    <col width="19" customWidth="1" style="46" min="9160" max="9160"/>
    <col width="2.140625" customWidth="1" style="46" min="9161" max="9161"/>
    <col width="19" customWidth="1" style="46" min="9162" max="9162"/>
    <col width="37.42578125" customWidth="1" style="46" min="9163" max="9163"/>
    <col width="11.42578125" customWidth="1" style="46" min="9164" max="9253"/>
    <col width="11.42578125" customWidth="1" style="46" min="9254" max="9407"/>
    <col hidden="1" width="13" customWidth="1" style="46" min="9408" max="9408"/>
    <col width="9" customWidth="1" style="46" min="9409" max="9409"/>
    <col hidden="1" width="13" customWidth="1" style="46" min="9410" max="9410"/>
    <col width="78" customWidth="1" style="46" min="9411" max="9411"/>
    <col width="14.28515625" customWidth="1" style="46" min="9412" max="9412"/>
    <col width="12.42578125" customWidth="1" style="46" min="9413" max="9413"/>
    <col width="19" customWidth="1" style="46" min="9414" max="9414"/>
    <col width="11.28515625" customWidth="1" style="46" min="9415" max="9415"/>
    <col width="19" customWidth="1" style="46" min="9416" max="9416"/>
    <col width="2.140625" customWidth="1" style="46" min="9417" max="9417"/>
    <col width="19" customWidth="1" style="46" min="9418" max="9418"/>
    <col width="37.42578125" customWidth="1" style="46" min="9419" max="9419"/>
    <col width="11.42578125" customWidth="1" style="46" min="9420" max="9509"/>
    <col width="11.42578125" customWidth="1" style="46" min="9510" max="9663"/>
    <col hidden="1" width="13" customWidth="1" style="46" min="9664" max="9664"/>
    <col width="9" customWidth="1" style="46" min="9665" max="9665"/>
    <col hidden="1" width="13" customWidth="1" style="46" min="9666" max="9666"/>
    <col width="78" customWidth="1" style="46" min="9667" max="9667"/>
    <col width="14.28515625" customWidth="1" style="46" min="9668" max="9668"/>
    <col width="12.42578125" customWidth="1" style="46" min="9669" max="9669"/>
    <col width="19" customWidth="1" style="46" min="9670" max="9670"/>
    <col width="11.28515625" customWidth="1" style="46" min="9671" max="9671"/>
    <col width="19" customWidth="1" style="46" min="9672" max="9672"/>
    <col width="2.140625" customWidth="1" style="46" min="9673" max="9673"/>
    <col width="19" customWidth="1" style="46" min="9674" max="9674"/>
    <col width="37.42578125" customWidth="1" style="46" min="9675" max="9675"/>
    <col width="11.42578125" customWidth="1" style="46" min="9676" max="9765"/>
    <col width="11.42578125" customWidth="1" style="46" min="9766" max="9919"/>
    <col hidden="1" width="13" customWidth="1" style="46" min="9920" max="9920"/>
    <col width="9" customWidth="1" style="46" min="9921" max="9921"/>
    <col hidden="1" width="13" customWidth="1" style="46" min="9922" max="9922"/>
    <col width="78" customWidth="1" style="46" min="9923" max="9923"/>
    <col width="14.28515625" customWidth="1" style="46" min="9924" max="9924"/>
    <col width="12.42578125" customWidth="1" style="46" min="9925" max="9925"/>
    <col width="19" customWidth="1" style="46" min="9926" max="9926"/>
    <col width="11.28515625" customWidth="1" style="46" min="9927" max="9927"/>
    <col width="19" customWidth="1" style="46" min="9928" max="9928"/>
    <col width="2.140625" customWidth="1" style="46" min="9929" max="9929"/>
    <col width="19" customWidth="1" style="46" min="9930" max="9930"/>
    <col width="37.42578125" customWidth="1" style="46" min="9931" max="9931"/>
    <col width="11.42578125" customWidth="1" style="46" min="9932" max="10021"/>
    <col width="11.42578125" customWidth="1" style="46" min="10022" max="10175"/>
    <col hidden="1" width="13" customWidth="1" style="46" min="10176" max="10176"/>
    <col width="9" customWidth="1" style="46" min="10177" max="10177"/>
    <col hidden="1" width="13" customWidth="1" style="46" min="10178" max="10178"/>
    <col width="78" customWidth="1" style="46" min="10179" max="10179"/>
    <col width="14.28515625" customWidth="1" style="46" min="10180" max="10180"/>
    <col width="12.42578125" customWidth="1" style="46" min="10181" max="10181"/>
    <col width="19" customWidth="1" style="46" min="10182" max="10182"/>
    <col width="11.28515625" customWidth="1" style="46" min="10183" max="10183"/>
    <col width="19" customWidth="1" style="46" min="10184" max="10184"/>
    <col width="2.140625" customWidth="1" style="46" min="10185" max="10185"/>
    <col width="19" customWidth="1" style="46" min="10186" max="10186"/>
    <col width="37.42578125" customWidth="1" style="46" min="10187" max="10187"/>
    <col width="11.42578125" customWidth="1" style="46" min="10188" max="10277"/>
    <col width="11.42578125" customWidth="1" style="46" min="10278" max="10431"/>
    <col hidden="1" width="13" customWidth="1" style="46" min="10432" max="10432"/>
    <col width="9" customWidth="1" style="46" min="10433" max="10433"/>
    <col hidden="1" width="13" customWidth="1" style="46" min="10434" max="10434"/>
    <col width="78" customWidth="1" style="46" min="10435" max="10435"/>
    <col width="14.28515625" customWidth="1" style="46" min="10436" max="10436"/>
    <col width="12.42578125" customWidth="1" style="46" min="10437" max="10437"/>
    <col width="19" customWidth="1" style="46" min="10438" max="10438"/>
    <col width="11.28515625" customWidth="1" style="46" min="10439" max="10439"/>
    <col width="19" customWidth="1" style="46" min="10440" max="10440"/>
    <col width="2.140625" customWidth="1" style="46" min="10441" max="10441"/>
    <col width="19" customWidth="1" style="46" min="10442" max="10442"/>
    <col width="37.42578125" customWidth="1" style="46" min="10443" max="10443"/>
    <col width="11.42578125" customWidth="1" style="46" min="10444" max="10533"/>
    <col width="11.42578125" customWidth="1" style="46" min="10534" max="10687"/>
    <col hidden="1" width="13" customWidth="1" style="46" min="10688" max="10688"/>
    <col width="9" customWidth="1" style="46" min="10689" max="10689"/>
    <col hidden="1" width="13" customWidth="1" style="46" min="10690" max="10690"/>
    <col width="78" customWidth="1" style="46" min="10691" max="10691"/>
    <col width="14.28515625" customWidth="1" style="46" min="10692" max="10692"/>
    <col width="12.42578125" customWidth="1" style="46" min="10693" max="10693"/>
    <col width="19" customWidth="1" style="46" min="10694" max="10694"/>
    <col width="11.28515625" customWidth="1" style="46" min="10695" max="10695"/>
    <col width="19" customWidth="1" style="46" min="10696" max="10696"/>
    <col width="2.140625" customWidth="1" style="46" min="10697" max="10697"/>
    <col width="19" customWidth="1" style="46" min="10698" max="10698"/>
    <col width="37.42578125" customWidth="1" style="46" min="10699" max="10699"/>
    <col width="11.42578125" customWidth="1" style="46" min="10700" max="10789"/>
    <col width="11.42578125" customWidth="1" style="46" min="10790" max="10943"/>
    <col hidden="1" width="13" customWidth="1" style="46" min="10944" max="10944"/>
    <col width="9" customWidth="1" style="46" min="10945" max="10945"/>
    <col hidden="1" width="13" customWidth="1" style="46" min="10946" max="10946"/>
    <col width="78" customWidth="1" style="46" min="10947" max="10947"/>
    <col width="14.28515625" customWidth="1" style="46" min="10948" max="10948"/>
    <col width="12.42578125" customWidth="1" style="46" min="10949" max="10949"/>
    <col width="19" customWidth="1" style="46" min="10950" max="10950"/>
    <col width="11.28515625" customWidth="1" style="46" min="10951" max="10951"/>
    <col width="19" customWidth="1" style="46" min="10952" max="10952"/>
    <col width="2.140625" customWidth="1" style="46" min="10953" max="10953"/>
    <col width="19" customWidth="1" style="46" min="10954" max="10954"/>
    <col width="37.42578125" customWidth="1" style="46" min="10955" max="10955"/>
    <col width="11.42578125" customWidth="1" style="46" min="10956" max="11045"/>
    <col width="11.42578125" customWidth="1" style="46" min="11046" max="11199"/>
    <col hidden="1" width="13" customWidth="1" style="46" min="11200" max="11200"/>
    <col width="9" customWidth="1" style="46" min="11201" max="11201"/>
    <col hidden="1" width="13" customWidth="1" style="46" min="11202" max="11202"/>
    <col width="78" customWidth="1" style="46" min="11203" max="11203"/>
    <col width="14.28515625" customWidth="1" style="46" min="11204" max="11204"/>
    <col width="12.42578125" customWidth="1" style="46" min="11205" max="11205"/>
    <col width="19" customWidth="1" style="46" min="11206" max="11206"/>
    <col width="11.28515625" customWidth="1" style="46" min="11207" max="11207"/>
    <col width="19" customWidth="1" style="46" min="11208" max="11208"/>
    <col width="2.140625" customWidth="1" style="46" min="11209" max="11209"/>
    <col width="19" customWidth="1" style="46" min="11210" max="11210"/>
    <col width="37.42578125" customWidth="1" style="46" min="11211" max="11211"/>
    <col width="11.42578125" customWidth="1" style="46" min="11212" max="11301"/>
    <col width="11.42578125" customWidth="1" style="46" min="11302" max="11455"/>
    <col hidden="1" width="13" customWidth="1" style="46" min="11456" max="11456"/>
    <col width="9" customWidth="1" style="46" min="11457" max="11457"/>
    <col hidden="1" width="13" customWidth="1" style="46" min="11458" max="11458"/>
    <col width="78" customWidth="1" style="46" min="11459" max="11459"/>
    <col width="14.28515625" customWidth="1" style="46" min="11460" max="11460"/>
    <col width="12.42578125" customWidth="1" style="46" min="11461" max="11461"/>
    <col width="19" customWidth="1" style="46" min="11462" max="11462"/>
    <col width="11.28515625" customWidth="1" style="46" min="11463" max="11463"/>
    <col width="19" customWidth="1" style="46" min="11464" max="11464"/>
    <col width="2.140625" customWidth="1" style="46" min="11465" max="11465"/>
    <col width="19" customWidth="1" style="46" min="11466" max="11466"/>
    <col width="37.42578125" customWidth="1" style="46" min="11467" max="11467"/>
    <col width="11.42578125" customWidth="1" style="46" min="11468" max="11557"/>
    <col width="11.42578125" customWidth="1" style="46" min="11558" max="11711"/>
    <col hidden="1" width="13" customWidth="1" style="46" min="11712" max="11712"/>
    <col width="9" customWidth="1" style="46" min="11713" max="11713"/>
    <col hidden="1" width="13" customWidth="1" style="46" min="11714" max="11714"/>
    <col width="78" customWidth="1" style="46" min="11715" max="11715"/>
    <col width="14.28515625" customWidth="1" style="46" min="11716" max="11716"/>
    <col width="12.42578125" customWidth="1" style="46" min="11717" max="11717"/>
    <col width="19" customWidth="1" style="46" min="11718" max="11718"/>
    <col width="11.28515625" customWidth="1" style="46" min="11719" max="11719"/>
    <col width="19" customWidth="1" style="46" min="11720" max="11720"/>
    <col width="2.140625" customWidth="1" style="46" min="11721" max="11721"/>
    <col width="19" customWidth="1" style="46" min="11722" max="11722"/>
    <col width="37.42578125" customWidth="1" style="46" min="11723" max="11723"/>
    <col width="11.42578125" customWidth="1" style="46" min="11724" max="11813"/>
    <col width="11.42578125" customWidth="1" style="46" min="11814" max="11967"/>
    <col hidden="1" width="13" customWidth="1" style="46" min="11968" max="11968"/>
    <col width="9" customWidth="1" style="46" min="11969" max="11969"/>
    <col hidden="1" width="13" customWidth="1" style="46" min="11970" max="11970"/>
    <col width="78" customWidth="1" style="46" min="11971" max="11971"/>
    <col width="14.28515625" customWidth="1" style="46" min="11972" max="11972"/>
    <col width="12.42578125" customWidth="1" style="46" min="11973" max="11973"/>
    <col width="19" customWidth="1" style="46" min="11974" max="11974"/>
    <col width="11.28515625" customWidth="1" style="46" min="11975" max="11975"/>
    <col width="19" customWidth="1" style="46" min="11976" max="11976"/>
    <col width="2.140625" customWidth="1" style="46" min="11977" max="11977"/>
    <col width="19" customWidth="1" style="46" min="11978" max="11978"/>
    <col width="37.42578125" customWidth="1" style="46" min="11979" max="11979"/>
    <col width="11.42578125" customWidth="1" style="46" min="11980" max="12069"/>
    <col width="11.42578125" customWidth="1" style="46" min="12070" max="12223"/>
    <col hidden="1" width="13" customWidth="1" style="46" min="12224" max="12224"/>
    <col width="9" customWidth="1" style="46" min="12225" max="12225"/>
    <col hidden="1" width="13" customWidth="1" style="46" min="12226" max="12226"/>
    <col width="78" customWidth="1" style="46" min="12227" max="12227"/>
    <col width="14.28515625" customWidth="1" style="46" min="12228" max="12228"/>
    <col width="12.42578125" customWidth="1" style="46" min="12229" max="12229"/>
    <col width="19" customWidth="1" style="46" min="12230" max="12230"/>
    <col width="11.28515625" customWidth="1" style="46" min="12231" max="12231"/>
    <col width="19" customWidth="1" style="46" min="12232" max="12232"/>
    <col width="2.140625" customWidth="1" style="46" min="12233" max="12233"/>
    <col width="19" customWidth="1" style="46" min="12234" max="12234"/>
    <col width="37.42578125" customWidth="1" style="46" min="12235" max="12235"/>
    <col width="11.42578125" customWidth="1" style="46" min="12236" max="12325"/>
    <col width="11.42578125" customWidth="1" style="46" min="12326" max="12479"/>
    <col hidden="1" width="13" customWidth="1" style="46" min="12480" max="12480"/>
    <col width="9" customWidth="1" style="46" min="12481" max="12481"/>
    <col hidden="1" width="13" customWidth="1" style="46" min="12482" max="12482"/>
    <col width="78" customWidth="1" style="46" min="12483" max="12483"/>
    <col width="14.28515625" customWidth="1" style="46" min="12484" max="12484"/>
    <col width="12.42578125" customWidth="1" style="46" min="12485" max="12485"/>
    <col width="19" customWidth="1" style="46" min="12486" max="12486"/>
    <col width="11.28515625" customWidth="1" style="46" min="12487" max="12487"/>
    <col width="19" customWidth="1" style="46" min="12488" max="12488"/>
    <col width="2.140625" customWidth="1" style="46" min="12489" max="12489"/>
    <col width="19" customWidth="1" style="46" min="12490" max="12490"/>
    <col width="37.42578125" customWidth="1" style="46" min="12491" max="12491"/>
    <col width="11.42578125" customWidth="1" style="46" min="12492" max="12581"/>
    <col width="11.42578125" customWidth="1" style="46" min="12582" max="12735"/>
    <col hidden="1" width="13" customWidth="1" style="46" min="12736" max="12736"/>
    <col width="9" customWidth="1" style="46" min="12737" max="12737"/>
    <col hidden="1" width="13" customWidth="1" style="46" min="12738" max="12738"/>
    <col width="78" customWidth="1" style="46" min="12739" max="12739"/>
    <col width="14.28515625" customWidth="1" style="46" min="12740" max="12740"/>
    <col width="12.42578125" customWidth="1" style="46" min="12741" max="12741"/>
    <col width="19" customWidth="1" style="46" min="12742" max="12742"/>
    <col width="11.28515625" customWidth="1" style="46" min="12743" max="12743"/>
    <col width="19" customWidth="1" style="46" min="12744" max="12744"/>
    <col width="2.140625" customWidth="1" style="46" min="12745" max="12745"/>
    <col width="19" customWidth="1" style="46" min="12746" max="12746"/>
    <col width="37.42578125" customWidth="1" style="46" min="12747" max="12747"/>
    <col width="11.42578125" customWidth="1" style="46" min="12748" max="12837"/>
    <col width="11.42578125" customWidth="1" style="46" min="12838" max="12991"/>
    <col hidden="1" width="13" customWidth="1" style="46" min="12992" max="12992"/>
    <col width="9" customWidth="1" style="46" min="12993" max="12993"/>
    <col hidden="1" width="13" customWidth="1" style="46" min="12994" max="12994"/>
    <col width="78" customWidth="1" style="46" min="12995" max="12995"/>
    <col width="14.28515625" customWidth="1" style="46" min="12996" max="12996"/>
    <col width="12.42578125" customWidth="1" style="46" min="12997" max="12997"/>
    <col width="19" customWidth="1" style="46" min="12998" max="12998"/>
    <col width="11.28515625" customWidth="1" style="46" min="12999" max="12999"/>
    <col width="19" customWidth="1" style="46" min="13000" max="13000"/>
    <col width="2.140625" customWidth="1" style="46" min="13001" max="13001"/>
    <col width="19" customWidth="1" style="46" min="13002" max="13002"/>
    <col width="37.42578125" customWidth="1" style="46" min="13003" max="13003"/>
    <col width="11.42578125" customWidth="1" style="46" min="13004" max="13093"/>
    <col width="11.42578125" customWidth="1" style="46" min="13094" max="13247"/>
    <col hidden="1" width="13" customWidth="1" style="46" min="13248" max="13248"/>
    <col width="9" customWidth="1" style="46" min="13249" max="13249"/>
    <col hidden="1" width="13" customWidth="1" style="46" min="13250" max="13250"/>
    <col width="78" customWidth="1" style="46" min="13251" max="13251"/>
    <col width="14.28515625" customWidth="1" style="46" min="13252" max="13252"/>
    <col width="12.42578125" customWidth="1" style="46" min="13253" max="13253"/>
    <col width="19" customWidth="1" style="46" min="13254" max="13254"/>
    <col width="11.28515625" customWidth="1" style="46" min="13255" max="13255"/>
    <col width="19" customWidth="1" style="46" min="13256" max="13256"/>
    <col width="2.140625" customWidth="1" style="46" min="13257" max="13257"/>
    <col width="19" customWidth="1" style="46" min="13258" max="13258"/>
    <col width="37.42578125" customWidth="1" style="46" min="13259" max="13259"/>
    <col width="11.42578125" customWidth="1" style="46" min="13260" max="13349"/>
    <col width="11.42578125" customWidth="1" style="46" min="13350" max="13503"/>
    <col hidden="1" width="13" customWidth="1" style="46" min="13504" max="13504"/>
    <col width="9" customWidth="1" style="46" min="13505" max="13505"/>
    <col hidden="1" width="13" customWidth="1" style="46" min="13506" max="13506"/>
    <col width="78" customWidth="1" style="46" min="13507" max="13507"/>
    <col width="14.28515625" customWidth="1" style="46" min="13508" max="13508"/>
    <col width="12.42578125" customWidth="1" style="46" min="13509" max="13509"/>
    <col width="19" customWidth="1" style="46" min="13510" max="13510"/>
    <col width="11.28515625" customWidth="1" style="46" min="13511" max="13511"/>
    <col width="19" customWidth="1" style="46" min="13512" max="13512"/>
    <col width="2.140625" customWidth="1" style="46" min="13513" max="13513"/>
    <col width="19" customWidth="1" style="46" min="13514" max="13514"/>
    <col width="37.42578125" customWidth="1" style="46" min="13515" max="13515"/>
    <col width="11.42578125" customWidth="1" style="46" min="13516" max="13605"/>
    <col width="11.42578125" customWidth="1" style="46" min="13606" max="13759"/>
    <col hidden="1" width="13" customWidth="1" style="46" min="13760" max="13760"/>
    <col width="9" customWidth="1" style="46" min="13761" max="13761"/>
    <col hidden="1" width="13" customWidth="1" style="46" min="13762" max="13762"/>
    <col width="78" customWidth="1" style="46" min="13763" max="13763"/>
    <col width="14.28515625" customWidth="1" style="46" min="13764" max="13764"/>
    <col width="12.42578125" customWidth="1" style="46" min="13765" max="13765"/>
    <col width="19" customWidth="1" style="46" min="13766" max="13766"/>
    <col width="11.28515625" customWidth="1" style="46" min="13767" max="13767"/>
    <col width="19" customWidth="1" style="46" min="13768" max="13768"/>
    <col width="2.140625" customWidth="1" style="46" min="13769" max="13769"/>
    <col width="19" customWidth="1" style="46" min="13770" max="13770"/>
    <col width="37.42578125" customWidth="1" style="46" min="13771" max="13771"/>
    <col width="11.42578125" customWidth="1" style="46" min="13772" max="13861"/>
    <col width="11.42578125" customWidth="1" style="46" min="13862" max="14015"/>
    <col hidden="1" width="13" customWidth="1" style="46" min="14016" max="14016"/>
    <col width="9" customWidth="1" style="46" min="14017" max="14017"/>
    <col hidden="1" width="13" customWidth="1" style="46" min="14018" max="14018"/>
    <col width="78" customWidth="1" style="46" min="14019" max="14019"/>
    <col width="14.28515625" customWidth="1" style="46" min="14020" max="14020"/>
    <col width="12.42578125" customWidth="1" style="46" min="14021" max="14021"/>
    <col width="19" customWidth="1" style="46" min="14022" max="14022"/>
    <col width="11.28515625" customWidth="1" style="46" min="14023" max="14023"/>
    <col width="19" customWidth="1" style="46" min="14024" max="14024"/>
    <col width="2.140625" customWidth="1" style="46" min="14025" max="14025"/>
    <col width="19" customWidth="1" style="46" min="14026" max="14026"/>
    <col width="37.42578125" customWidth="1" style="46" min="14027" max="14027"/>
    <col width="11.42578125" customWidth="1" style="46" min="14028" max="14117"/>
    <col width="11.42578125" customWidth="1" style="46" min="14118" max="14271"/>
    <col hidden="1" width="13" customWidth="1" style="46" min="14272" max="14272"/>
    <col width="9" customWidth="1" style="46" min="14273" max="14273"/>
    <col hidden="1" width="13" customWidth="1" style="46" min="14274" max="14274"/>
    <col width="78" customWidth="1" style="46" min="14275" max="14275"/>
    <col width="14.28515625" customWidth="1" style="46" min="14276" max="14276"/>
    <col width="12.42578125" customWidth="1" style="46" min="14277" max="14277"/>
    <col width="19" customWidth="1" style="46" min="14278" max="14278"/>
    <col width="11.28515625" customWidth="1" style="46" min="14279" max="14279"/>
    <col width="19" customWidth="1" style="46" min="14280" max="14280"/>
    <col width="2.140625" customWidth="1" style="46" min="14281" max="14281"/>
    <col width="19" customWidth="1" style="46" min="14282" max="14282"/>
    <col width="37.42578125" customWidth="1" style="46" min="14283" max="14283"/>
    <col width="11.42578125" customWidth="1" style="46" min="14284" max="14373"/>
    <col width="11.42578125" customWidth="1" style="46" min="14374" max="14527"/>
    <col hidden="1" width="13" customWidth="1" style="46" min="14528" max="14528"/>
    <col width="9" customWidth="1" style="46" min="14529" max="14529"/>
    <col hidden="1" width="13" customWidth="1" style="46" min="14530" max="14530"/>
    <col width="78" customWidth="1" style="46" min="14531" max="14531"/>
    <col width="14.28515625" customWidth="1" style="46" min="14532" max="14532"/>
    <col width="12.42578125" customWidth="1" style="46" min="14533" max="14533"/>
    <col width="19" customWidth="1" style="46" min="14534" max="14534"/>
    <col width="11.28515625" customWidth="1" style="46" min="14535" max="14535"/>
    <col width="19" customWidth="1" style="46" min="14536" max="14536"/>
    <col width="2.140625" customWidth="1" style="46" min="14537" max="14537"/>
    <col width="19" customWidth="1" style="46" min="14538" max="14538"/>
    <col width="37.42578125" customWidth="1" style="46" min="14539" max="14539"/>
    <col width="11.42578125" customWidth="1" style="46" min="14540" max="14629"/>
    <col width="11.42578125" customWidth="1" style="46" min="14630" max="14783"/>
    <col hidden="1" width="13" customWidth="1" style="46" min="14784" max="14784"/>
    <col width="9" customWidth="1" style="46" min="14785" max="14785"/>
    <col hidden="1" width="13" customWidth="1" style="46" min="14786" max="14786"/>
    <col width="78" customWidth="1" style="46" min="14787" max="14787"/>
    <col width="14.28515625" customWidth="1" style="46" min="14788" max="14788"/>
    <col width="12.42578125" customWidth="1" style="46" min="14789" max="14789"/>
    <col width="19" customWidth="1" style="46" min="14790" max="14790"/>
    <col width="11.28515625" customWidth="1" style="46" min="14791" max="14791"/>
    <col width="19" customWidth="1" style="46" min="14792" max="14792"/>
    <col width="2.140625" customWidth="1" style="46" min="14793" max="14793"/>
    <col width="19" customWidth="1" style="46" min="14794" max="14794"/>
    <col width="37.42578125" customWidth="1" style="46" min="14795" max="14795"/>
    <col width="11.42578125" customWidth="1" style="46" min="14796" max="14885"/>
    <col width="11.42578125" customWidth="1" style="46" min="14886" max="15039"/>
    <col hidden="1" width="13" customWidth="1" style="46" min="15040" max="15040"/>
    <col width="9" customWidth="1" style="46" min="15041" max="15041"/>
    <col hidden="1" width="13" customWidth="1" style="46" min="15042" max="15042"/>
    <col width="78" customWidth="1" style="46" min="15043" max="15043"/>
    <col width="14.28515625" customWidth="1" style="46" min="15044" max="15044"/>
    <col width="12.42578125" customWidth="1" style="46" min="15045" max="15045"/>
    <col width="19" customWidth="1" style="46" min="15046" max="15046"/>
    <col width="11.28515625" customWidth="1" style="46" min="15047" max="15047"/>
    <col width="19" customWidth="1" style="46" min="15048" max="15048"/>
    <col width="2.140625" customWidth="1" style="46" min="15049" max="15049"/>
    <col width="19" customWidth="1" style="46" min="15050" max="15050"/>
    <col width="37.42578125" customWidth="1" style="46" min="15051" max="15051"/>
    <col width="11.42578125" customWidth="1" style="46" min="15052" max="15141"/>
    <col width="11.42578125" customWidth="1" style="46" min="15142" max="15295"/>
    <col hidden="1" width="13" customWidth="1" style="46" min="15296" max="15296"/>
    <col width="9" customWidth="1" style="46" min="15297" max="15297"/>
    <col hidden="1" width="13" customWidth="1" style="46" min="15298" max="15298"/>
    <col width="78" customWidth="1" style="46" min="15299" max="15299"/>
    <col width="14.28515625" customWidth="1" style="46" min="15300" max="15300"/>
    <col width="12.42578125" customWidth="1" style="46" min="15301" max="15301"/>
    <col width="19" customWidth="1" style="46" min="15302" max="15302"/>
    <col width="11.28515625" customWidth="1" style="46" min="15303" max="15303"/>
    <col width="19" customWidth="1" style="46" min="15304" max="15304"/>
    <col width="2.140625" customWidth="1" style="46" min="15305" max="15305"/>
    <col width="19" customWidth="1" style="46" min="15306" max="15306"/>
    <col width="37.42578125" customWidth="1" style="46" min="15307" max="15307"/>
    <col width="11.42578125" customWidth="1" style="46" min="15308" max="15397"/>
    <col width="11.42578125" customWidth="1" style="46" min="15398" max="15551"/>
    <col hidden="1" width="13" customWidth="1" style="46" min="15552" max="15552"/>
    <col width="9" customWidth="1" style="46" min="15553" max="15553"/>
    <col hidden="1" width="13" customWidth="1" style="46" min="15554" max="15554"/>
    <col width="78" customWidth="1" style="46" min="15555" max="15555"/>
    <col width="14.28515625" customWidth="1" style="46" min="15556" max="15556"/>
    <col width="12.42578125" customWidth="1" style="46" min="15557" max="15557"/>
    <col width="19" customWidth="1" style="46" min="15558" max="15558"/>
    <col width="11.28515625" customWidth="1" style="46" min="15559" max="15559"/>
    <col width="19" customWidth="1" style="46" min="15560" max="15560"/>
    <col width="2.140625" customWidth="1" style="46" min="15561" max="15561"/>
    <col width="19" customWidth="1" style="46" min="15562" max="15562"/>
    <col width="37.42578125" customWidth="1" style="46" min="15563" max="15563"/>
    <col width="11.42578125" customWidth="1" style="46" min="15564" max="15653"/>
    <col width="11.42578125" customWidth="1" style="46" min="15654" max="15807"/>
    <col hidden="1" width="13" customWidth="1" style="46" min="15808" max="15808"/>
    <col width="9" customWidth="1" style="46" min="15809" max="15809"/>
    <col hidden="1" width="13" customWidth="1" style="46" min="15810" max="15810"/>
    <col width="78" customWidth="1" style="46" min="15811" max="15811"/>
    <col width="14.28515625" customWidth="1" style="46" min="15812" max="15812"/>
    <col width="12.42578125" customWidth="1" style="46" min="15813" max="15813"/>
    <col width="19" customWidth="1" style="46" min="15814" max="15814"/>
    <col width="11.28515625" customWidth="1" style="46" min="15815" max="15815"/>
    <col width="19" customWidth="1" style="46" min="15816" max="15816"/>
    <col width="2.140625" customWidth="1" style="46" min="15817" max="15817"/>
    <col width="19" customWidth="1" style="46" min="15818" max="15818"/>
    <col width="37.42578125" customWidth="1" style="46" min="15819" max="15819"/>
    <col width="11.42578125" customWidth="1" style="46" min="15820" max="15909"/>
    <col width="11.42578125" customWidth="1" style="46" min="15910" max="16063"/>
    <col hidden="1" width="13" customWidth="1" style="46" min="16064" max="16064"/>
    <col width="9" customWidth="1" style="46" min="16065" max="16065"/>
    <col hidden="1" width="13" customWidth="1" style="46" min="16066" max="16066"/>
    <col width="78" customWidth="1" style="46" min="16067" max="16067"/>
    <col width="14.28515625" customWidth="1" style="46" min="16068" max="16068"/>
    <col width="12.42578125" customWidth="1" style="46" min="16069" max="16069"/>
    <col width="19" customWidth="1" style="46" min="16070" max="16070"/>
    <col width="11.28515625" customWidth="1" style="46" min="16071" max="16071"/>
    <col width="19" customWidth="1" style="46" min="16072" max="16072"/>
    <col width="2.140625" customWidth="1" style="46" min="16073" max="16073"/>
    <col width="19" customWidth="1" style="46" min="16074" max="16074"/>
    <col width="37.42578125" customWidth="1" style="46" min="16075" max="16075"/>
    <col width="11.42578125" customWidth="1" style="46" min="16076" max="16165"/>
    <col width="11.42578125" customWidth="1" style="46" min="16166" max="16384"/>
  </cols>
  <sheetData>
    <row r="1" ht="38.25" customHeight="1" thickBot="1">
      <c r="A1" s="39" t="inlineStr">
        <is>
          <t>Variation Register</t>
        </is>
      </c>
      <c r="B1" s="484" t="n"/>
      <c r="C1" s="484" t="n"/>
      <c r="D1" s="484" t="n"/>
      <c r="E1" s="41" t="n"/>
      <c r="F1" s="42" t="n"/>
      <c r="G1" s="484" t="n"/>
      <c r="H1" s="484" t="n"/>
      <c r="I1" s="484" t="n"/>
      <c r="J1" s="41" t="n"/>
      <c r="K1" s="41" t="n"/>
      <c r="L1" s="143" t="n"/>
      <c r="M1" s="132">
        <f>TODAY()</f>
        <v/>
      </c>
    </row>
    <row r="2" ht="10.15" customHeight="1" thickBot="1">
      <c r="A2" s="44" t="n"/>
      <c r="C2" s="46" t="n"/>
      <c r="D2" s="46" t="n"/>
      <c r="E2" s="46" t="n"/>
      <c r="F2" s="46" t="n"/>
      <c r="G2" s="46" t="n"/>
      <c r="H2" s="46" t="n"/>
      <c r="I2" s="46" t="n"/>
      <c r="J2" s="46" t="n"/>
      <c r="K2" s="46" t="n"/>
    </row>
    <row r="3" ht="23.1" customHeight="1">
      <c r="A3" s="325" t="inlineStr">
        <is>
          <t>Job #:</t>
        </is>
      </c>
      <c r="B3" s="326" t="inlineStr">
        <is>
          <t>9876</t>
        </is>
      </c>
      <c r="C3" s="317" t="n"/>
      <c r="D3" s="318" t="n"/>
      <c r="E3" s="319" t="inlineStr">
        <is>
          <t>BASE CONTRACT AMOUNT</t>
        </is>
      </c>
      <c r="F3" s="485" t="n"/>
      <c r="G3" s="486" t="n">
        <v>9000000</v>
      </c>
      <c r="H3" s="487" t="n"/>
      <c r="I3" s="487" t="n"/>
    </row>
    <row r="4" ht="23.1" customHeight="1">
      <c r="A4" s="325" t="inlineStr">
        <is>
          <t>Project:</t>
        </is>
      </c>
      <c r="B4" s="327" t="inlineStr"/>
      <c r="C4" s="320" t="n"/>
      <c r="D4" s="321" t="n"/>
      <c r="E4" s="322" t="inlineStr">
        <is>
          <t>TOTAL VARIATIONS APPROVED TO DATE</t>
        </is>
      </c>
      <c r="F4" s="488" t="n"/>
      <c r="G4" s="489">
        <f>G38-G5</f>
        <v/>
      </c>
      <c r="H4" s="47" t="n"/>
      <c r="I4" s="46" t="n"/>
      <c r="J4" s="46" t="n"/>
      <c r="K4" s="46" t="n"/>
      <c r="L4" s="145" t="n"/>
      <c r="M4" s="306" t="inlineStr">
        <is>
          <t xml:space="preserve">Submitted </t>
        </is>
      </c>
    </row>
    <row r="5" ht="23.1" customHeight="1">
      <c r="A5" s="325" t="inlineStr">
        <is>
          <t>Location:</t>
        </is>
      </c>
      <c r="B5" s="327" t="inlineStr"/>
      <c r="C5" s="320" t="n"/>
      <c r="D5" s="321" t="n"/>
      <c r="E5" s="322" t="inlineStr">
        <is>
          <t>SUBTOTAL PSUMS TO DATE</t>
        </is>
      </c>
      <c r="F5" s="488" t="n"/>
      <c r="G5" s="489">
        <f>G17+G25</f>
        <v/>
      </c>
      <c r="H5" s="52" t="n"/>
      <c r="I5" s="46" t="n"/>
      <c r="J5" s="46" t="n"/>
      <c r="K5" s="46" t="n"/>
      <c r="L5" s="145" t="n"/>
      <c r="M5" s="304" t="inlineStr">
        <is>
          <t>Approved</t>
        </is>
      </c>
    </row>
    <row r="6" ht="23.1" customHeight="1">
      <c r="C6" s="320" t="n"/>
      <c r="D6" s="321" t="n"/>
      <c r="E6" s="322" t="inlineStr">
        <is>
          <t>SUBTOTAL CONTRACT TO DATE</t>
        </is>
      </c>
      <c r="F6" s="488" t="n"/>
      <c r="G6" s="490">
        <f>SUM(G3:G5)</f>
        <v/>
      </c>
      <c r="H6" s="52" t="n"/>
      <c r="I6" s="46" t="n"/>
      <c r="J6" s="46" t="n"/>
      <c r="K6" s="46" t="n"/>
      <c r="L6" s="145" t="n"/>
      <c r="M6" s="305" t="inlineStr">
        <is>
          <t>Void</t>
        </is>
      </c>
    </row>
    <row r="7" ht="23.1" customHeight="1">
      <c r="A7" s="73" t="n"/>
      <c r="B7" s="74" t="n"/>
      <c r="C7" s="320" t="n"/>
      <c r="D7" s="321" t="n"/>
      <c r="E7" s="323" t="inlineStr">
        <is>
          <t xml:space="preserve">PENDING </t>
        </is>
      </c>
      <c r="F7" s="488" t="n"/>
      <c r="G7" s="491">
        <f>E38</f>
        <v/>
      </c>
      <c r="H7" s="52" t="n"/>
      <c r="I7" s="46" t="n"/>
      <c r="J7" s="46" t="n"/>
      <c r="K7" s="46" t="n"/>
      <c r="L7" s="145" t="n"/>
      <c r="M7" s="307" t="inlineStr">
        <is>
          <t>Rejected</t>
        </is>
      </c>
    </row>
    <row r="8" ht="23.1" customHeight="1">
      <c r="A8" s="135" t="n"/>
      <c r="B8" s="53" t="inlineStr">
        <is>
          <t>Approved</t>
        </is>
      </c>
      <c r="C8" s="320" t="n"/>
      <c r="D8" s="321" t="n"/>
      <c r="E8" s="324" t="inlineStr">
        <is>
          <t>IN DISPUTE</t>
        </is>
      </c>
      <c r="F8" s="488" t="n"/>
      <c r="G8" s="489">
        <f>F38</f>
        <v/>
      </c>
      <c r="H8" s="52" t="n"/>
      <c r="I8" s="46" t="n"/>
      <c r="J8" s="46" t="n"/>
      <c r="K8" s="46" t="n"/>
      <c r="L8" s="145" t="n"/>
      <c r="M8" s="46" t="n"/>
    </row>
    <row r="9" ht="23.1" customHeight="1" thickBot="1">
      <c r="A9" s="153" t="n"/>
      <c r="B9" s="45" t="inlineStr">
        <is>
          <t>Pending</t>
        </is>
      </c>
      <c r="C9" s="54" t="n"/>
      <c r="D9" s="55" t="n"/>
      <c r="E9" s="492" t="inlineStr">
        <is>
          <t>PROJECTED CONTRACT TOTAL</t>
        </is>
      </c>
      <c r="F9" s="493" t="n"/>
      <c r="G9" s="494">
        <f>SUM(G6:G8)</f>
        <v/>
      </c>
      <c r="H9" s="52" t="n"/>
      <c r="I9" s="46" t="n"/>
      <c r="J9" s="46" t="n"/>
      <c r="K9" s="46" t="n"/>
      <c r="L9" s="145" t="n"/>
      <c r="M9" s="46" t="n"/>
    </row>
    <row r="10" ht="23.1" customHeight="1">
      <c r="A10" s="136" t="n"/>
      <c r="B10" s="45" t="inlineStr">
        <is>
          <t>Not Approved</t>
        </is>
      </c>
      <c r="C10" s="49" t="n"/>
      <c r="D10" s="49" t="n"/>
      <c r="E10" s="495" t="n"/>
      <c r="F10" s="496" t="n"/>
      <c r="G10" s="497" t="n"/>
      <c r="H10" s="52" t="n"/>
      <c r="I10" s="46" t="n"/>
      <c r="J10" s="46" t="n"/>
      <c r="K10" s="46" t="n"/>
      <c r="L10" s="145" t="n"/>
      <c r="M10" s="46" t="n"/>
    </row>
    <row r="11" ht="11.25" customHeight="1" thickBot="1">
      <c r="A11" s="49" t="n"/>
      <c r="B11" s="53" t="n"/>
      <c r="C11" s="52" t="n"/>
      <c r="D11" s="52" t="n"/>
      <c r="E11" s="52" t="n"/>
      <c r="F11" s="52" t="n"/>
      <c r="G11" s="52" t="n"/>
      <c r="H11" s="52" t="n"/>
      <c r="I11" s="46" t="n"/>
      <c r="J11" s="46" t="n"/>
      <c r="K11" s="46" t="n"/>
      <c r="L11" s="145" t="n"/>
      <c r="M11" s="46" t="n"/>
    </row>
    <row r="12" ht="33.75" customFormat="1" customHeight="1" s="59" thickBot="1">
      <c r="A12" s="123" t="inlineStr">
        <is>
          <t>VO#</t>
        </is>
      </c>
      <c r="B12" s="124" t="inlineStr">
        <is>
          <t>DESCRIPTION</t>
        </is>
      </c>
      <c r="C12" s="125" t="inlineStr">
        <is>
          <t>DATE VO
ISSUED</t>
        </is>
      </c>
      <c r="D12" s="126" t="inlineStr">
        <is>
          <t>VARIATION VALUE</t>
        </is>
      </c>
      <c r="E12" s="498" t="inlineStr">
        <is>
          <t>PENDING APPROVAL</t>
        </is>
      </c>
      <c r="F12" s="499" t="inlineStr">
        <is>
          <t>NOT APPROVED</t>
        </is>
      </c>
      <c r="G12" s="500" t="inlineStr">
        <is>
          <t xml:space="preserve">TOTAL APPROVED </t>
        </is>
      </c>
      <c r="H12" s="501" t="inlineStr">
        <is>
          <t>NOT PROCEEDING</t>
        </is>
      </c>
      <c r="I12" s="502" t="inlineStr">
        <is>
          <t>IN DISPUTE</t>
        </is>
      </c>
      <c r="J12" s="500" t="inlineStr">
        <is>
          <t>NOD / EOT</t>
        </is>
      </c>
      <c r="K12" s="501" t="inlineStr">
        <is>
          <t>STATUS</t>
        </is>
      </c>
      <c r="L12" s="124" t="inlineStr">
        <is>
          <t>NOTES</t>
        </is>
      </c>
      <c r="M12" s="124" t="inlineStr">
        <is>
          <t>Action</t>
        </is>
      </c>
    </row>
    <row r="13" ht="28.9" customHeight="1">
      <c r="A13" s="60" t="n">
        <v>2</v>
      </c>
      <c r="B13" s="333" t="inlineStr">
        <is>
          <t xml:space="preserve">VO3 - east </t>
        </is>
      </c>
      <c r="C13" s="503" t="n"/>
      <c r="D13" s="504" t="n">
        <v>1687.95</v>
      </c>
      <c r="E13" s="505" t="n">
        <v>0</v>
      </c>
      <c r="F13" s="506" t="n">
        <v>687.95</v>
      </c>
      <c r="G13" s="507" t="n">
        <v>1000</v>
      </c>
      <c r="H13" s="508" t="n"/>
      <c r="I13" s="508" t="n"/>
      <c r="J13" s="81" t="n"/>
      <c r="K13" s="549" t="inlineStr">
        <is>
          <t>Approved</t>
        </is>
      </c>
      <c r="L13" s="146" t="inlineStr">
        <is>
          <t>Head Contract VO</t>
        </is>
      </c>
      <c r="M13" s="66" t="n"/>
      <c r="N13" s="59" t="n"/>
    </row>
    <row r="14" ht="28.9" customHeight="1">
      <c r="A14" s="60" t="n">
        <v>4</v>
      </c>
      <c r="B14" s="333" t="inlineStr">
        <is>
          <t>VO2 - West</t>
        </is>
      </c>
      <c r="C14" s="503" t="inlineStr">
        <is>
          <t>2026-06-14</t>
        </is>
      </c>
      <c r="D14" s="504" t="n">
        <v>40601.55</v>
      </c>
      <c r="E14" s="505" t="n">
        <v>0</v>
      </c>
      <c r="F14" s="506" t="n">
        <v>15121.55</v>
      </c>
      <c r="G14" s="507" t="n">
        <v>40000</v>
      </c>
      <c r="H14" s="509" t="n"/>
      <c r="I14" s="509" t="n"/>
      <c r="J14" s="76" t="n"/>
      <c r="K14" s="549" t="inlineStr">
        <is>
          <t>Approved</t>
        </is>
      </c>
      <c r="L14" s="146" t="inlineStr">
        <is>
          <t>Head Contract VO</t>
        </is>
      </c>
      <c r="M14" s="66" t="n"/>
      <c r="N14" s="59" t="n"/>
    </row>
    <row r="15" ht="28.9" customHeight="1">
      <c r="A15" s="60" t="n">
        <v>5</v>
      </c>
      <c r="B15" s="333" t="inlineStr">
        <is>
          <t>VO3 - BEEASt</t>
        </is>
      </c>
      <c r="C15" s="503" t="inlineStr">
        <is>
          <t>2026-06-14</t>
        </is>
      </c>
      <c r="D15" s="504" t="n">
        <v>21780</v>
      </c>
      <c r="E15" s="505" t="n">
        <v>21780</v>
      </c>
      <c r="F15" s="506" t="n">
        <v>0</v>
      </c>
      <c r="G15" s="507" t="n">
        <v>0</v>
      </c>
      <c r="H15" s="509" t="n"/>
      <c r="I15" s="509" t="n"/>
      <c r="J15" s="76" t="n"/>
      <c r="K15" s="550" t="inlineStr">
        <is>
          <t>Submitted</t>
        </is>
      </c>
      <c r="L15" s="146" t="inlineStr">
        <is>
          <t>Head Contract VO</t>
        </is>
      </c>
      <c r="M15" s="66" t="n"/>
      <c r="N15" s="59" t="n"/>
    </row>
    <row r="16" ht="28.9" customHeight="1">
      <c r="A16" s="60" t="n"/>
      <c r="B16" s="334" t="n"/>
      <c r="C16" s="503" t="n"/>
      <c r="D16" s="504" t="n"/>
      <c r="E16" s="505" t="n"/>
      <c r="F16" s="506" t="n"/>
      <c r="G16" s="507" t="n"/>
      <c r="H16" s="509" t="n"/>
      <c r="I16" s="509" t="n"/>
      <c r="J16" s="76" t="n"/>
      <c r="K16" s="77" t="n"/>
      <c r="L16" s="146" t="n"/>
      <c r="M16" s="66" t="n"/>
      <c r="N16" s="59" t="n"/>
    </row>
    <row r="17" ht="28.9" customHeight="1">
      <c r="A17" s="60" t="n"/>
      <c r="B17" s="334" t="n"/>
      <c r="C17" s="503" t="n"/>
      <c r="D17" s="504" t="n"/>
      <c r="E17" s="505" t="n"/>
      <c r="F17" s="506" t="n"/>
      <c r="G17" s="507" t="n"/>
      <c r="H17" s="509" t="n"/>
      <c r="I17" s="509" t="n"/>
      <c r="J17" s="76" t="n"/>
      <c r="K17" s="77" t="n"/>
      <c r="L17" s="146" t="n"/>
      <c r="M17" s="66" t="n"/>
      <c r="N17" s="59" t="n"/>
    </row>
    <row r="18" ht="28.9" customHeight="1">
      <c r="A18" s="60" t="n"/>
      <c r="B18" s="334" t="n"/>
      <c r="C18" s="510" t="n"/>
      <c r="D18" s="504" t="n"/>
      <c r="E18" s="505" t="n"/>
      <c r="F18" s="506" t="n"/>
      <c r="G18" s="507" t="n"/>
      <c r="H18" s="509" t="n"/>
      <c r="I18" s="509" t="n"/>
      <c r="J18" s="76" t="n"/>
      <c r="K18" s="77" t="n"/>
      <c r="L18" s="146" t="n"/>
      <c r="M18" s="66" t="n"/>
      <c r="N18" s="59" t="n"/>
    </row>
    <row r="19" ht="28.9" customHeight="1">
      <c r="A19" s="60" t="n"/>
      <c r="B19" s="334" t="n"/>
      <c r="C19" s="510" t="n"/>
      <c r="D19" s="504" t="n"/>
      <c r="E19" s="505" t="n"/>
      <c r="F19" s="506" t="n"/>
      <c r="G19" s="507" t="n"/>
      <c r="H19" s="509" t="n"/>
      <c r="I19" s="509" t="n"/>
      <c r="J19" s="76" t="n"/>
      <c r="K19" s="77" t="n"/>
      <c r="L19" s="146" t="n"/>
      <c r="M19" s="66" t="n"/>
      <c r="N19" s="59" t="n"/>
    </row>
    <row r="20" ht="28.9" customHeight="1">
      <c r="A20" s="60" t="n"/>
      <c r="B20" s="334" t="n"/>
      <c r="C20" s="510" t="n"/>
      <c r="D20" s="504" t="n"/>
      <c r="E20" s="505" t="n"/>
      <c r="F20" s="506" t="n"/>
      <c r="G20" s="507" t="n"/>
      <c r="H20" s="509" t="n"/>
      <c r="I20" s="509" t="n"/>
      <c r="J20" s="76" t="n"/>
      <c r="K20" s="77" t="n"/>
      <c r="L20" s="146" t="n"/>
      <c r="M20" s="66" t="n"/>
      <c r="N20" s="59" t="n"/>
    </row>
    <row r="21" ht="28.9" customHeight="1">
      <c r="A21" s="60" t="n"/>
      <c r="B21" s="334" t="n"/>
      <c r="C21" s="510" t="n"/>
      <c r="D21" s="504" t="n"/>
      <c r="E21" s="505" t="n"/>
      <c r="F21" s="506" t="n"/>
      <c r="G21" s="507" t="n"/>
      <c r="H21" s="509" t="n"/>
      <c r="I21" s="509" t="n"/>
      <c r="J21" s="76" t="n"/>
      <c r="K21" s="77" t="n"/>
      <c r="L21" s="146" t="n"/>
      <c r="M21" s="66" t="n"/>
      <c r="N21" s="59" t="n"/>
    </row>
    <row r="22" ht="28.9" customHeight="1">
      <c r="A22" s="60" t="n"/>
      <c r="B22" s="334" t="n"/>
      <c r="C22" s="510" t="n"/>
      <c r="D22" s="504" t="n"/>
      <c r="E22" s="505" t="n"/>
      <c r="F22" s="506" t="n"/>
      <c r="G22" s="507" t="n"/>
      <c r="H22" s="509" t="n"/>
      <c r="I22" s="509" t="n"/>
      <c r="J22" s="76" t="n"/>
      <c r="K22" s="77" t="n"/>
      <c r="L22" s="146" t="n"/>
      <c r="M22" s="66" t="n"/>
      <c r="N22" s="59" t="n"/>
    </row>
    <row r="23" ht="28.9" customHeight="1">
      <c r="A23" s="60" t="n"/>
      <c r="B23" s="334" t="n"/>
      <c r="C23" s="510" t="n"/>
      <c r="D23" s="504" t="n"/>
      <c r="E23" s="505" t="n"/>
      <c r="F23" s="506" t="n"/>
      <c r="G23" s="507" t="n"/>
      <c r="H23" s="509" t="n"/>
      <c r="I23" s="509" t="n"/>
      <c r="J23" s="76" t="n"/>
      <c r="K23" s="77" t="n"/>
      <c r="L23" s="146" t="n"/>
      <c r="M23" s="66" t="n"/>
      <c r="N23" s="511" t="n"/>
    </row>
    <row r="24" ht="28.9" customHeight="1">
      <c r="A24" s="60" t="n"/>
      <c r="B24" s="333" t="n"/>
      <c r="C24" s="510" t="n"/>
      <c r="D24" s="512" t="n"/>
      <c r="E24" s="505" t="n"/>
      <c r="F24" s="506" t="n"/>
      <c r="G24" s="507" t="n"/>
      <c r="H24" s="509" t="n"/>
      <c r="I24" s="509" t="n"/>
      <c r="J24" s="76" t="n"/>
      <c r="K24" s="77" t="n"/>
      <c r="L24" s="146" t="n"/>
      <c r="M24" s="66" t="n"/>
      <c r="N24" s="511" t="n"/>
    </row>
    <row r="25" ht="28.9" customHeight="1">
      <c r="A25" s="60" t="n"/>
      <c r="B25" s="333" t="n"/>
      <c r="C25" s="510" t="n"/>
      <c r="D25" s="512" t="n"/>
      <c r="E25" s="505" t="n"/>
      <c r="F25" s="506" t="n"/>
      <c r="G25" s="507" t="n"/>
      <c r="H25" s="509" t="n"/>
      <c r="I25" s="509" t="n"/>
      <c r="J25" s="76" t="n"/>
      <c r="K25" s="77" t="n"/>
      <c r="L25" s="146" t="n"/>
      <c r="M25" s="66" t="n"/>
      <c r="N25" s="511" t="n"/>
    </row>
    <row r="26" ht="28.9" customHeight="1">
      <c r="A26" s="60" t="n"/>
      <c r="B26" s="333" t="n"/>
      <c r="C26" s="510" t="n"/>
      <c r="D26" s="512" t="n"/>
      <c r="E26" s="505" t="n"/>
      <c r="F26" s="506" t="n"/>
      <c r="G26" s="507" t="n"/>
      <c r="H26" s="509" t="n"/>
      <c r="I26" s="509" t="n"/>
      <c r="J26" s="76" t="n"/>
      <c r="K26" s="77" t="n"/>
      <c r="L26" s="142" t="n"/>
      <c r="M26" s="66" t="n"/>
      <c r="N26" s="511" t="n"/>
    </row>
    <row r="27" ht="28.9" customHeight="1">
      <c r="A27" s="60" t="n"/>
      <c r="B27" s="333" t="n"/>
      <c r="C27" s="510" t="n"/>
      <c r="D27" s="512" t="n"/>
      <c r="E27" s="505" t="n"/>
      <c r="F27" s="119" t="n"/>
      <c r="G27" s="507" t="n"/>
      <c r="H27" s="509" t="n"/>
      <c r="I27" s="509" t="n"/>
      <c r="J27" s="76" t="n"/>
      <c r="K27" s="77" t="n"/>
      <c r="L27" s="142" t="n"/>
      <c r="M27" s="196" t="n"/>
      <c r="N27" s="511" t="n"/>
    </row>
    <row r="28" ht="28.9" customHeight="1">
      <c r="A28" s="60" t="n"/>
      <c r="B28" s="333" t="n"/>
      <c r="C28" s="510" t="n"/>
      <c r="D28" s="513" t="n"/>
      <c r="E28" s="514" t="n"/>
      <c r="F28" s="119" t="n"/>
      <c r="G28" s="507" t="n"/>
      <c r="H28" s="509" t="n"/>
      <c r="I28" s="509" t="n"/>
      <c r="J28" s="76" t="n"/>
      <c r="K28" s="77" t="n"/>
      <c r="L28" s="142" t="n"/>
      <c r="M28" s="196" t="n"/>
      <c r="N28" s="511" t="n"/>
    </row>
    <row r="29" ht="28.9" customHeight="1">
      <c r="A29" s="60" t="n"/>
      <c r="B29" s="333" t="n"/>
      <c r="C29" s="510" t="n"/>
      <c r="D29" s="513" t="n"/>
      <c r="E29" s="514" t="n"/>
      <c r="F29" s="119" t="n"/>
      <c r="G29" s="507" t="n"/>
      <c r="H29" s="509" t="n"/>
      <c r="I29" s="509" t="n"/>
      <c r="J29" s="76" t="n"/>
      <c r="K29" s="77" t="n"/>
      <c r="L29" s="142" t="n"/>
      <c r="M29" s="196" t="n"/>
      <c r="N29" s="511" t="n"/>
    </row>
    <row r="30" ht="28.9" customHeight="1">
      <c r="A30" s="60" t="n"/>
      <c r="B30" s="333" t="n"/>
      <c r="C30" s="510" t="n"/>
      <c r="D30" s="512" t="n"/>
      <c r="E30" s="505" t="n"/>
      <c r="F30" s="119" t="n"/>
      <c r="G30" s="507" t="n"/>
      <c r="H30" s="509" t="n"/>
      <c r="I30" s="509" t="n"/>
      <c r="J30" s="76" t="n"/>
      <c r="K30" s="77" t="n"/>
      <c r="L30" s="142" t="n"/>
      <c r="M30" s="66" t="n"/>
      <c r="N30" s="511" t="n"/>
    </row>
    <row r="31" ht="28.9" customHeight="1">
      <c r="A31" s="60" t="n"/>
      <c r="B31" s="333" t="n"/>
      <c r="C31" s="510" t="n"/>
      <c r="D31" s="512" t="n"/>
      <c r="E31" s="505" t="n"/>
      <c r="F31" s="119" t="n"/>
      <c r="G31" s="507" t="n"/>
      <c r="H31" s="509" t="n"/>
      <c r="I31" s="509" t="n"/>
      <c r="J31" s="76" t="n"/>
      <c r="K31" s="77" t="n"/>
      <c r="L31" s="142" t="n"/>
      <c r="M31" s="66" t="n"/>
      <c r="N31" s="511" t="n"/>
    </row>
    <row r="32" ht="28.9" customHeight="1">
      <c r="A32" s="60" t="n"/>
      <c r="B32" s="333" t="n"/>
      <c r="C32" s="510" t="n"/>
      <c r="D32" s="512" t="n"/>
      <c r="E32" s="505" t="n"/>
      <c r="F32" s="512" t="n"/>
      <c r="G32" s="507" t="n"/>
      <c r="H32" s="509" t="n"/>
      <c r="I32" s="509" t="n"/>
      <c r="J32" s="76" t="n"/>
      <c r="K32" s="77" t="n"/>
      <c r="L32" s="142" t="n"/>
      <c r="M32" s="66" t="n"/>
      <c r="N32" s="511" t="n"/>
    </row>
    <row r="33" ht="28.9" customHeight="1">
      <c r="A33" s="60" t="n"/>
      <c r="B33" s="333" t="n"/>
      <c r="C33" s="510" t="n"/>
      <c r="D33" s="512" t="n"/>
      <c r="E33" s="505" t="n"/>
      <c r="F33" s="512" t="n"/>
      <c r="G33" s="507" t="n"/>
      <c r="H33" s="509" t="n"/>
      <c r="I33" s="509" t="n"/>
      <c r="J33" s="76" t="n"/>
      <c r="K33" s="77" t="n"/>
      <c r="L33" s="142" t="n"/>
      <c r="M33" s="66" t="n"/>
      <c r="N33" s="511" t="n"/>
    </row>
    <row r="34" ht="28.9" customHeight="1">
      <c r="A34" s="308" t="n"/>
      <c r="B34" s="333" t="n"/>
      <c r="C34" s="510" t="n"/>
      <c r="D34" s="512" t="n"/>
      <c r="E34" s="505" t="n"/>
      <c r="F34" s="515" t="n"/>
      <c r="G34" s="512" t="n"/>
      <c r="H34" s="509" t="n"/>
      <c r="I34" s="509" t="n"/>
      <c r="J34" s="76" t="n"/>
      <c r="K34" s="77" t="n"/>
      <c r="L34" s="142" t="n"/>
      <c r="M34" s="66" t="n"/>
      <c r="N34" s="511" t="n"/>
    </row>
    <row r="35" ht="28.9" customHeight="1">
      <c r="A35" s="60" t="n"/>
      <c r="B35" s="333" t="n"/>
      <c r="C35" s="510" t="n"/>
      <c r="D35" s="512" t="n"/>
      <c r="E35" s="505" t="n"/>
      <c r="F35" s="515" t="n"/>
      <c r="G35" s="507" t="n"/>
      <c r="H35" s="509" t="n"/>
      <c r="I35" s="509" t="n"/>
      <c r="J35" s="76" t="n"/>
      <c r="K35" s="77" t="n"/>
      <c r="L35" s="142" t="n"/>
      <c r="M35" s="66" t="n"/>
      <c r="N35" s="511" t="n"/>
    </row>
    <row r="36" ht="28.9" customHeight="1">
      <c r="A36" s="60" t="n"/>
      <c r="B36" s="61" t="n"/>
      <c r="C36" s="510" t="n"/>
      <c r="D36" s="512" t="n"/>
      <c r="E36" s="505" t="n"/>
      <c r="F36" s="119" t="n"/>
      <c r="G36" s="516" t="n"/>
      <c r="H36" s="509" t="n"/>
      <c r="I36" s="509" t="n"/>
      <c r="J36" s="76" t="n"/>
      <c r="K36" s="77" t="n"/>
      <c r="L36" s="142" t="n"/>
      <c r="M36" s="66" t="n"/>
      <c r="N36" s="511" t="n"/>
    </row>
    <row r="37" ht="27.75" customHeight="1">
      <c r="A37" s="60" t="n"/>
      <c r="B37" s="61" t="n"/>
      <c r="C37" s="510" t="n"/>
      <c r="D37" s="512" t="n"/>
      <c r="E37" s="514" t="n"/>
      <c r="F37" s="118" t="n"/>
      <c r="G37" s="516" t="n"/>
      <c r="H37" s="517" t="n"/>
      <c r="I37" s="517" t="n"/>
      <c r="J37" s="64" t="n"/>
      <c r="K37" s="65" t="n"/>
      <c r="L37" s="142" t="n"/>
      <c r="M37" s="66" t="n"/>
      <c r="N37" s="511" t="n"/>
    </row>
    <row r="38" ht="24" customFormat="1" customHeight="1" s="114">
      <c r="A38" s="60" t="n"/>
      <c r="B38" s="111" t="inlineStr">
        <is>
          <t>TOTALS</t>
        </is>
      </c>
      <c r="C38" s="120" t="n"/>
      <c r="D38" s="518" t="n">
        <v>64069.5</v>
      </c>
      <c r="E38" s="519" t="n">
        <v>21780</v>
      </c>
      <c r="F38" s="520" t="n">
        <v>15809.5</v>
      </c>
      <c r="G38" s="521" t="n">
        <v>41000</v>
      </c>
      <c r="H38" s="522">
        <f>SUM(H13:H37)</f>
        <v/>
      </c>
      <c r="I38" s="522">
        <f>SUM(I13:I37)</f>
        <v/>
      </c>
      <c r="J38" s="523" t="n"/>
      <c r="K38" s="65" t="n"/>
      <c r="L38" s="524">
        <f>G13+G15+G17+G23+G25+G27+G28+G29</f>
        <v/>
      </c>
      <c r="M38" s="525" t="n"/>
    </row>
    <row r="39" ht="24" customHeight="1">
      <c r="A39" s="58" t="n"/>
      <c r="B39" s="67" t="n"/>
      <c r="C39" s="68" t="n"/>
      <c r="D39" s="526" t="n"/>
      <c r="E39" s="527" t="n"/>
      <c r="F39" s="528" t="n"/>
      <c r="G39" s="46" t="n"/>
      <c r="H39" s="529" t="n"/>
      <c r="I39" s="529" t="n"/>
      <c r="J39" s="530" t="n"/>
      <c r="K39" s="530" t="n"/>
      <c r="L39" s="531">
        <f>L38</f>
        <v/>
      </c>
      <c r="M39" s="532" t="inlineStr">
        <is>
          <t>Head Contract VO</t>
        </is>
      </c>
    </row>
    <row r="40" ht="13.5" customHeight="1" thickBot="1">
      <c r="L40" s="533">
        <f>G38-L38</f>
        <v/>
      </c>
      <c r="M40" s="532" t="inlineStr">
        <is>
          <t>Client Direct VO</t>
        </is>
      </c>
    </row>
    <row r="41" ht="13.5" customHeight="1" thickBot="1">
      <c r="L41" s="534">
        <f>SUM(L39:L40)</f>
        <v/>
      </c>
    </row>
    <row r="42" ht="13.5" customHeight="1" thickBot="1">
      <c r="L42" s="533">
        <f>G3</f>
        <v/>
      </c>
      <c r="M42" s="45" t="inlineStr">
        <is>
          <t>Contract Sum</t>
        </is>
      </c>
    </row>
    <row r="43" ht="13.5" customHeight="1" thickBot="1">
      <c r="L43" s="535">
        <f>L41+L42</f>
        <v/>
      </c>
      <c r="M43" s="46" t="inlineStr">
        <is>
          <t>Adjusted Contract Sum</t>
        </is>
      </c>
    </row>
    <row r="44">
      <c r="L44" s="533">
        <f>G9</f>
        <v/>
      </c>
      <c r="M44" s="46" t="inlineStr">
        <is>
          <t>PROJECTED CONTRACT SUM</t>
        </is>
      </c>
    </row>
  </sheetData>
  <dataValidations count="1">
    <dataValidation sqref="K13:K38" showDropDown="0" showInputMessage="1" showErrorMessage="1" allowBlank="1" type="list">
      <formula1>#REF!</formula1>
    </dataValidation>
  </dataValidations>
  <pageMargins left="0.25" right="0.25" top="0.75" bottom="0.75" header="0.3" footer="0.3"/>
  <pageSetup orientation="landscape" paperSize="9" scale="47" horizontalDpi="300" verticalDpi="30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30"/>
  <sheetViews>
    <sheetView zoomScale="85" zoomScaleNormal="85" workbookViewId="0">
      <selection activeCell="E16" sqref="E16"/>
    </sheetView>
  </sheetViews>
  <sheetFormatPr baseColWidth="8" defaultColWidth="11.42578125" defaultRowHeight="12.75"/>
  <cols>
    <col width="9" customWidth="1" style="43" min="1" max="1"/>
    <col width="73.140625" customWidth="1" style="45" min="2" max="2"/>
    <col width="20.140625" customWidth="1" style="70" min="3" max="5"/>
    <col width="13.28515625" customWidth="1" style="482" min="6" max="6"/>
    <col width="39.140625" customWidth="1" style="144" min="7" max="7"/>
    <col width="11.42578125" customWidth="1" style="46" min="8" max="9"/>
    <col width="12.7109375" bestFit="1" customWidth="1" style="46" min="10" max="10"/>
    <col width="11.42578125" customWidth="1" style="46" min="11" max="20"/>
    <col width="11.42578125" customWidth="1" style="46" min="21" max="174"/>
    <col hidden="1" width="13" customWidth="1" style="46" min="175" max="175"/>
    <col width="9" customWidth="1" style="46" min="176" max="176"/>
    <col hidden="1" width="13" customWidth="1" style="46" min="177" max="177"/>
    <col width="78" customWidth="1" style="46" min="178" max="178"/>
    <col width="14.28515625" customWidth="1" style="46" min="179" max="179"/>
    <col width="12.42578125" customWidth="1" style="46" min="180" max="180"/>
    <col width="19" customWidth="1" style="46" min="181" max="181"/>
    <col width="11.28515625" customWidth="1" style="46" min="182" max="182"/>
    <col width="19" customWidth="1" style="46" min="183" max="183"/>
    <col width="2.140625" customWidth="1" style="46" min="184" max="184"/>
    <col width="19" customWidth="1" style="46" min="185" max="185"/>
    <col width="37.42578125" customWidth="1" style="46" min="186" max="186"/>
    <col width="11.42578125" customWidth="1" style="46" min="187" max="276"/>
    <col width="11.42578125" customWidth="1" style="46" min="277" max="430"/>
    <col hidden="1" width="13" customWidth="1" style="46" min="431" max="431"/>
    <col width="9" customWidth="1" style="46" min="432" max="432"/>
    <col hidden="1" width="13" customWidth="1" style="46" min="433" max="433"/>
    <col width="78" customWidth="1" style="46" min="434" max="434"/>
    <col width="14.28515625" customWidth="1" style="46" min="435" max="435"/>
    <col width="12.42578125" customWidth="1" style="46" min="436" max="436"/>
    <col width="19" customWidth="1" style="46" min="437" max="437"/>
    <col width="11.28515625" customWidth="1" style="46" min="438" max="438"/>
    <col width="19" customWidth="1" style="46" min="439" max="439"/>
    <col width="2.140625" customWidth="1" style="46" min="440" max="440"/>
    <col width="19" customWidth="1" style="46" min="441" max="441"/>
    <col width="37.42578125" customWidth="1" style="46" min="442" max="442"/>
    <col width="11.42578125" customWidth="1" style="46" min="443" max="532"/>
    <col width="11.42578125" customWidth="1" style="46" min="533" max="686"/>
    <col hidden="1" width="13" customWidth="1" style="46" min="687" max="687"/>
    <col width="9" customWidth="1" style="46" min="688" max="688"/>
    <col hidden="1" width="13" customWidth="1" style="46" min="689" max="689"/>
    <col width="78" customWidth="1" style="46" min="690" max="690"/>
    <col width="14.28515625" customWidth="1" style="46" min="691" max="691"/>
    <col width="12.42578125" customWidth="1" style="46" min="692" max="692"/>
    <col width="19" customWidth="1" style="46" min="693" max="693"/>
    <col width="11.28515625" customWidth="1" style="46" min="694" max="694"/>
    <col width="19" customWidth="1" style="46" min="695" max="695"/>
    <col width="2.140625" customWidth="1" style="46" min="696" max="696"/>
    <col width="19" customWidth="1" style="46" min="697" max="697"/>
    <col width="37.42578125" customWidth="1" style="46" min="698" max="698"/>
    <col width="11.42578125" customWidth="1" style="46" min="699" max="788"/>
    <col width="11.42578125" customWidth="1" style="46" min="789" max="942"/>
    <col hidden="1" width="13" customWidth="1" style="46" min="943" max="943"/>
    <col width="9" customWidth="1" style="46" min="944" max="944"/>
    <col hidden="1" width="13" customWidth="1" style="46" min="945" max="945"/>
    <col width="78" customWidth="1" style="46" min="946" max="946"/>
    <col width="14.28515625" customWidth="1" style="46" min="947" max="947"/>
    <col width="12.42578125" customWidth="1" style="46" min="948" max="948"/>
    <col width="19" customWidth="1" style="46" min="949" max="949"/>
    <col width="11.28515625" customWidth="1" style="46" min="950" max="950"/>
    <col width="19" customWidth="1" style="46" min="951" max="951"/>
    <col width="2.140625" customWidth="1" style="46" min="952" max="952"/>
    <col width="19" customWidth="1" style="46" min="953" max="953"/>
    <col width="37.42578125" customWidth="1" style="46" min="954" max="954"/>
    <col width="11.42578125" customWidth="1" style="46" min="955" max="1044"/>
    <col width="11.42578125" customWidth="1" style="46" min="1045" max="1198"/>
    <col hidden="1" width="13" customWidth="1" style="46" min="1199" max="1199"/>
    <col width="9" customWidth="1" style="46" min="1200" max="1200"/>
    <col hidden="1" width="13" customWidth="1" style="46" min="1201" max="1201"/>
    <col width="78" customWidth="1" style="46" min="1202" max="1202"/>
    <col width="14.28515625" customWidth="1" style="46" min="1203" max="1203"/>
    <col width="12.42578125" customWidth="1" style="46" min="1204" max="1204"/>
    <col width="19" customWidth="1" style="46" min="1205" max="1205"/>
    <col width="11.28515625" customWidth="1" style="46" min="1206" max="1206"/>
    <col width="19" customWidth="1" style="46" min="1207" max="1207"/>
    <col width="2.140625" customWidth="1" style="46" min="1208" max="1208"/>
    <col width="19" customWidth="1" style="46" min="1209" max="1209"/>
    <col width="37.42578125" customWidth="1" style="46" min="1210" max="1210"/>
    <col width="11.42578125" customWidth="1" style="46" min="1211" max="1300"/>
    <col width="11.42578125" customWidth="1" style="46" min="1301" max="1454"/>
    <col hidden="1" width="13" customWidth="1" style="46" min="1455" max="1455"/>
    <col width="9" customWidth="1" style="46" min="1456" max="1456"/>
    <col hidden="1" width="13" customWidth="1" style="46" min="1457" max="1457"/>
    <col width="78" customWidth="1" style="46" min="1458" max="1458"/>
    <col width="14.28515625" customWidth="1" style="46" min="1459" max="1459"/>
    <col width="12.42578125" customWidth="1" style="46" min="1460" max="1460"/>
    <col width="19" customWidth="1" style="46" min="1461" max="1461"/>
    <col width="11.28515625" customWidth="1" style="46" min="1462" max="1462"/>
    <col width="19" customWidth="1" style="46" min="1463" max="1463"/>
    <col width="2.140625" customWidth="1" style="46" min="1464" max="1464"/>
    <col width="19" customWidth="1" style="46" min="1465" max="1465"/>
    <col width="37.42578125" customWidth="1" style="46" min="1466" max="1466"/>
    <col width="11.42578125" customWidth="1" style="46" min="1467" max="1556"/>
    <col width="11.42578125" customWidth="1" style="46" min="1557" max="1710"/>
    <col hidden="1" width="13" customWidth="1" style="46" min="1711" max="1711"/>
    <col width="9" customWidth="1" style="46" min="1712" max="1712"/>
    <col hidden="1" width="13" customWidth="1" style="46" min="1713" max="1713"/>
    <col width="78" customWidth="1" style="46" min="1714" max="1714"/>
    <col width="14.28515625" customWidth="1" style="46" min="1715" max="1715"/>
    <col width="12.42578125" customWidth="1" style="46" min="1716" max="1716"/>
    <col width="19" customWidth="1" style="46" min="1717" max="1717"/>
    <col width="11.28515625" customWidth="1" style="46" min="1718" max="1718"/>
    <col width="19" customWidth="1" style="46" min="1719" max="1719"/>
    <col width="2.140625" customWidth="1" style="46" min="1720" max="1720"/>
    <col width="19" customWidth="1" style="46" min="1721" max="1721"/>
    <col width="37.42578125" customWidth="1" style="46" min="1722" max="1722"/>
    <col width="11.42578125" customWidth="1" style="46" min="1723" max="1812"/>
    <col width="11.42578125" customWidth="1" style="46" min="1813" max="1966"/>
    <col hidden="1" width="13" customWidth="1" style="46" min="1967" max="1967"/>
    <col width="9" customWidth="1" style="46" min="1968" max="1968"/>
    <col hidden="1" width="13" customWidth="1" style="46" min="1969" max="1969"/>
    <col width="78" customWidth="1" style="46" min="1970" max="1970"/>
    <col width="14.28515625" customWidth="1" style="46" min="1971" max="1971"/>
    <col width="12.42578125" customWidth="1" style="46" min="1972" max="1972"/>
    <col width="19" customWidth="1" style="46" min="1973" max="1973"/>
    <col width="11.28515625" customWidth="1" style="46" min="1974" max="1974"/>
    <col width="19" customWidth="1" style="46" min="1975" max="1975"/>
    <col width="2.140625" customWidth="1" style="46" min="1976" max="1976"/>
    <col width="19" customWidth="1" style="46" min="1977" max="1977"/>
    <col width="37.42578125" customWidth="1" style="46" min="1978" max="1978"/>
    <col width="11.42578125" customWidth="1" style="46" min="1979" max="2068"/>
    <col width="11.42578125" customWidth="1" style="46" min="2069" max="2222"/>
    <col hidden="1" width="13" customWidth="1" style="46" min="2223" max="2223"/>
    <col width="9" customWidth="1" style="46" min="2224" max="2224"/>
    <col hidden="1" width="13" customWidth="1" style="46" min="2225" max="2225"/>
    <col width="78" customWidth="1" style="46" min="2226" max="2226"/>
    <col width="14.28515625" customWidth="1" style="46" min="2227" max="2227"/>
    <col width="12.42578125" customWidth="1" style="46" min="2228" max="2228"/>
    <col width="19" customWidth="1" style="46" min="2229" max="2229"/>
    <col width="11.28515625" customWidth="1" style="46" min="2230" max="2230"/>
    <col width="19" customWidth="1" style="46" min="2231" max="2231"/>
    <col width="2.140625" customWidth="1" style="46" min="2232" max="2232"/>
    <col width="19" customWidth="1" style="46" min="2233" max="2233"/>
    <col width="37.42578125" customWidth="1" style="46" min="2234" max="2234"/>
    <col width="11.42578125" customWidth="1" style="46" min="2235" max="2324"/>
    <col width="11.42578125" customWidth="1" style="46" min="2325" max="2478"/>
    <col hidden="1" width="13" customWidth="1" style="46" min="2479" max="2479"/>
    <col width="9" customWidth="1" style="46" min="2480" max="2480"/>
    <col hidden="1" width="13" customWidth="1" style="46" min="2481" max="2481"/>
    <col width="78" customWidth="1" style="46" min="2482" max="2482"/>
    <col width="14.28515625" customWidth="1" style="46" min="2483" max="2483"/>
    <col width="12.42578125" customWidth="1" style="46" min="2484" max="2484"/>
    <col width="19" customWidth="1" style="46" min="2485" max="2485"/>
    <col width="11.28515625" customWidth="1" style="46" min="2486" max="2486"/>
    <col width="19" customWidth="1" style="46" min="2487" max="2487"/>
    <col width="2.140625" customWidth="1" style="46" min="2488" max="2488"/>
    <col width="19" customWidth="1" style="46" min="2489" max="2489"/>
    <col width="37.42578125" customWidth="1" style="46" min="2490" max="2490"/>
    <col width="11.42578125" customWidth="1" style="46" min="2491" max="2580"/>
    <col width="11.42578125" customWidth="1" style="46" min="2581" max="2734"/>
    <col hidden="1" width="13" customWidth="1" style="46" min="2735" max="2735"/>
    <col width="9" customWidth="1" style="46" min="2736" max="2736"/>
    <col hidden="1" width="13" customWidth="1" style="46" min="2737" max="2737"/>
    <col width="78" customWidth="1" style="46" min="2738" max="2738"/>
    <col width="14.28515625" customWidth="1" style="46" min="2739" max="2739"/>
    <col width="12.42578125" customWidth="1" style="46" min="2740" max="2740"/>
    <col width="19" customWidth="1" style="46" min="2741" max="2741"/>
    <col width="11.28515625" customWidth="1" style="46" min="2742" max="2742"/>
    <col width="19" customWidth="1" style="46" min="2743" max="2743"/>
    <col width="2.140625" customWidth="1" style="46" min="2744" max="2744"/>
    <col width="19" customWidth="1" style="46" min="2745" max="2745"/>
    <col width="37.42578125" customWidth="1" style="46" min="2746" max="2746"/>
    <col width="11.42578125" customWidth="1" style="46" min="2747" max="2836"/>
    <col width="11.42578125" customWidth="1" style="46" min="2837" max="2990"/>
    <col hidden="1" width="13" customWidth="1" style="46" min="2991" max="2991"/>
    <col width="9" customWidth="1" style="46" min="2992" max="2992"/>
    <col hidden="1" width="13" customWidth="1" style="46" min="2993" max="2993"/>
    <col width="78" customWidth="1" style="46" min="2994" max="2994"/>
    <col width="14.28515625" customWidth="1" style="46" min="2995" max="2995"/>
    <col width="12.42578125" customWidth="1" style="46" min="2996" max="2996"/>
    <col width="19" customWidth="1" style="46" min="2997" max="2997"/>
    <col width="11.28515625" customWidth="1" style="46" min="2998" max="2998"/>
    <col width="19" customWidth="1" style="46" min="2999" max="2999"/>
    <col width="2.140625" customWidth="1" style="46" min="3000" max="3000"/>
    <col width="19" customWidth="1" style="46" min="3001" max="3001"/>
    <col width="37.42578125" customWidth="1" style="46" min="3002" max="3002"/>
    <col width="11.42578125" customWidth="1" style="46" min="3003" max="3092"/>
    <col width="11.42578125" customWidth="1" style="46" min="3093" max="3246"/>
    <col hidden="1" width="13" customWidth="1" style="46" min="3247" max="3247"/>
    <col width="9" customWidth="1" style="46" min="3248" max="3248"/>
    <col hidden="1" width="13" customWidth="1" style="46" min="3249" max="3249"/>
    <col width="78" customWidth="1" style="46" min="3250" max="3250"/>
    <col width="14.28515625" customWidth="1" style="46" min="3251" max="3251"/>
    <col width="12.42578125" customWidth="1" style="46" min="3252" max="3252"/>
    <col width="19" customWidth="1" style="46" min="3253" max="3253"/>
    <col width="11.28515625" customWidth="1" style="46" min="3254" max="3254"/>
    <col width="19" customWidth="1" style="46" min="3255" max="3255"/>
    <col width="2.140625" customWidth="1" style="46" min="3256" max="3256"/>
    <col width="19" customWidth="1" style="46" min="3257" max="3257"/>
    <col width="37.42578125" customWidth="1" style="46" min="3258" max="3258"/>
    <col width="11.42578125" customWidth="1" style="46" min="3259" max="3348"/>
    <col width="11.42578125" customWidth="1" style="46" min="3349" max="3502"/>
    <col hidden="1" width="13" customWidth="1" style="46" min="3503" max="3503"/>
    <col width="9" customWidth="1" style="46" min="3504" max="3504"/>
    <col hidden="1" width="13" customWidth="1" style="46" min="3505" max="3505"/>
    <col width="78" customWidth="1" style="46" min="3506" max="3506"/>
    <col width="14.28515625" customWidth="1" style="46" min="3507" max="3507"/>
    <col width="12.42578125" customWidth="1" style="46" min="3508" max="3508"/>
    <col width="19" customWidth="1" style="46" min="3509" max="3509"/>
    <col width="11.28515625" customWidth="1" style="46" min="3510" max="3510"/>
    <col width="19" customWidth="1" style="46" min="3511" max="3511"/>
    <col width="2.140625" customWidth="1" style="46" min="3512" max="3512"/>
    <col width="19" customWidth="1" style="46" min="3513" max="3513"/>
    <col width="37.42578125" customWidth="1" style="46" min="3514" max="3514"/>
    <col width="11.42578125" customWidth="1" style="46" min="3515" max="3604"/>
    <col width="11.42578125" customWidth="1" style="46" min="3605" max="3758"/>
    <col hidden="1" width="13" customWidth="1" style="46" min="3759" max="3759"/>
    <col width="9" customWidth="1" style="46" min="3760" max="3760"/>
    <col hidden="1" width="13" customWidth="1" style="46" min="3761" max="3761"/>
    <col width="78" customWidth="1" style="46" min="3762" max="3762"/>
    <col width="14.28515625" customWidth="1" style="46" min="3763" max="3763"/>
    <col width="12.42578125" customWidth="1" style="46" min="3764" max="3764"/>
    <col width="19" customWidth="1" style="46" min="3765" max="3765"/>
    <col width="11.28515625" customWidth="1" style="46" min="3766" max="3766"/>
    <col width="19" customWidth="1" style="46" min="3767" max="3767"/>
    <col width="2.140625" customWidth="1" style="46" min="3768" max="3768"/>
    <col width="19" customWidth="1" style="46" min="3769" max="3769"/>
    <col width="37.42578125" customWidth="1" style="46" min="3770" max="3770"/>
    <col width="11.42578125" customWidth="1" style="46" min="3771" max="3860"/>
    <col width="11.42578125" customWidth="1" style="46" min="3861" max="4014"/>
    <col hidden="1" width="13" customWidth="1" style="46" min="4015" max="4015"/>
    <col width="9" customWidth="1" style="46" min="4016" max="4016"/>
    <col hidden="1" width="13" customWidth="1" style="46" min="4017" max="4017"/>
    <col width="78" customWidth="1" style="46" min="4018" max="4018"/>
    <col width="14.28515625" customWidth="1" style="46" min="4019" max="4019"/>
    <col width="12.42578125" customWidth="1" style="46" min="4020" max="4020"/>
    <col width="19" customWidth="1" style="46" min="4021" max="4021"/>
    <col width="11.28515625" customWidth="1" style="46" min="4022" max="4022"/>
    <col width="19" customWidth="1" style="46" min="4023" max="4023"/>
    <col width="2.140625" customWidth="1" style="46" min="4024" max="4024"/>
    <col width="19" customWidth="1" style="46" min="4025" max="4025"/>
    <col width="37.42578125" customWidth="1" style="46" min="4026" max="4026"/>
    <col width="11.42578125" customWidth="1" style="46" min="4027" max="4116"/>
    <col width="11.42578125" customWidth="1" style="46" min="4117" max="4270"/>
    <col hidden="1" width="13" customWidth="1" style="46" min="4271" max="4271"/>
    <col width="9" customWidth="1" style="46" min="4272" max="4272"/>
    <col hidden="1" width="13" customWidth="1" style="46" min="4273" max="4273"/>
    <col width="78" customWidth="1" style="46" min="4274" max="4274"/>
    <col width="14.28515625" customWidth="1" style="46" min="4275" max="4275"/>
    <col width="12.42578125" customWidth="1" style="46" min="4276" max="4276"/>
    <col width="19" customWidth="1" style="46" min="4277" max="4277"/>
    <col width="11.28515625" customWidth="1" style="46" min="4278" max="4278"/>
    <col width="19" customWidth="1" style="46" min="4279" max="4279"/>
    <col width="2.140625" customWidth="1" style="46" min="4280" max="4280"/>
    <col width="19" customWidth="1" style="46" min="4281" max="4281"/>
    <col width="37.42578125" customWidth="1" style="46" min="4282" max="4282"/>
    <col width="11.42578125" customWidth="1" style="46" min="4283" max="4372"/>
    <col width="11.42578125" customWidth="1" style="46" min="4373" max="4526"/>
    <col hidden="1" width="13" customWidth="1" style="46" min="4527" max="4527"/>
    <col width="9" customWidth="1" style="46" min="4528" max="4528"/>
    <col hidden="1" width="13" customWidth="1" style="46" min="4529" max="4529"/>
    <col width="78" customWidth="1" style="46" min="4530" max="4530"/>
    <col width="14.28515625" customWidth="1" style="46" min="4531" max="4531"/>
    <col width="12.42578125" customWidth="1" style="46" min="4532" max="4532"/>
    <col width="19" customWidth="1" style="46" min="4533" max="4533"/>
    <col width="11.28515625" customWidth="1" style="46" min="4534" max="4534"/>
    <col width="19" customWidth="1" style="46" min="4535" max="4535"/>
    <col width="2.140625" customWidth="1" style="46" min="4536" max="4536"/>
    <col width="19" customWidth="1" style="46" min="4537" max="4537"/>
    <col width="37.42578125" customWidth="1" style="46" min="4538" max="4538"/>
    <col width="11.42578125" customWidth="1" style="46" min="4539" max="4628"/>
    <col width="11.42578125" customWidth="1" style="46" min="4629" max="4782"/>
    <col hidden="1" width="13" customWidth="1" style="46" min="4783" max="4783"/>
    <col width="9" customWidth="1" style="46" min="4784" max="4784"/>
    <col hidden="1" width="13" customWidth="1" style="46" min="4785" max="4785"/>
    <col width="78" customWidth="1" style="46" min="4786" max="4786"/>
    <col width="14.28515625" customWidth="1" style="46" min="4787" max="4787"/>
    <col width="12.42578125" customWidth="1" style="46" min="4788" max="4788"/>
    <col width="19" customWidth="1" style="46" min="4789" max="4789"/>
    <col width="11.28515625" customWidth="1" style="46" min="4790" max="4790"/>
    <col width="19" customWidth="1" style="46" min="4791" max="4791"/>
    <col width="2.140625" customWidth="1" style="46" min="4792" max="4792"/>
    <col width="19" customWidth="1" style="46" min="4793" max="4793"/>
    <col width="37.42578125" customWidth="1" style="46" min="4794" max="4794"/>
    <col width="11.42578125" customWidth="1" style="46" min="4795" max="4884"/>
    <col width="11.42578125" customWidth="1" style="46" min="4885" max="5038"/>
    <col hidden="1" width="13" customWidth="1" style="46" min="5039" max="5039"/>
    <col width="9" customWidth="1" style="46" min="5040" max="5040"/>
    <col hidden="1" width="13" customWidth="1" style="46" min="5041" max="5041"/>
    <col width="78" customWidth="1" style="46" min="5042" max="5042"/>
    <col width="14.28515625" customWidth="1" style="46" min="5043" max="5043"/>
    <col width="12.42578125" customWidth="1" style="46" min="5044" max="5044"/>
    <col width="19" customWidth="1" style="46" min="5045" max="5045"/>
    <col width="11.28515625" customWidth="1" style="46" min="5046" max="5046"/>
    <col width="19" customWidth="1" style="46" min="5047" max="5047"/>
    <col width="2.140625" customWidth="1" style="46" min="5048" max="5048"/>
    <col width="19" customWidth="1" style="46" min="5049" max="5049"/>
    <col width="37.42578125" customWidth="1" style="46" min="5050" max="5050"/>
    <col width="11.42578125" customWidth="1" style="46" min="5051" max="5140"/>
    <col width="11.42578125" customWidth="1" style="46" min="5141" max="5294"/>
    <col hidden="1" width="13" customWidth="1" style="46" min="5295" max="5295"/>
    <col width="9" customWidth="1" style="46" min="5296" max="5296"/>
    <col hidden="1" width="13" customWidth="1" style="46" min="5297" max="5297"/>
    <col width="78" customWidth="1" style="46" min="5298" max="5298"/>
    <col width="14.28515625" customWidth="1" style="46" min="5299" max="5299"/>
    <col width="12.42578125" customWidth="1" style="46" min="5300" max="5300"/>
    <col width="19" customWidth="1" style="46" min="5301" max="5301"/>
    <col width="11.28515625" customWidth="1" style="46" min="5302" max="5302"/>
    <col width="19" customWidth="1" style="46" min="5303" max="5303"/>
    <col width="2.140625" customWidth="1" style="46" min="5304" max="5304"/>
    <col width="19" customWidth="1" style="46" min="5305" max="5305"/>
    <col width="37.42578125" customWidth="1" style="46" min="5306" max="5306"/>
    <col width="11.42578125" customWidth="1" style="46" min="5307" max="5396"/>
    <col width="11.42578125" customWidth="1" style="46" min="5397" max="5550"/>
    <col hidden="1" width="13" customWidth="1" style="46" min="5551" max="5551"/>
    <col width="9" customWidth="1" style="46" min="5552" max="5552"/>
    <col hidden="1" width="13" customWidth="1" style="46" min="5553" max="5553"/>
    <col width="78" customWidth="1" style="46" min="5554" max="5554"/>
    <col width="14.28515625" customWidth="1" style="46" min="5555" max="5555"/>
    <col width="12.42578125" customWidth="1" style="46" min="5556" max="5556"/>
    <col width="19" customWidth="1" style="46" min="5557" max="5557"/>
    <col width="11.28515625" customWidth="1" style="46" min="5558" max="5558"/>
    <col width="19" customWidth="1" style="46" min="5559" max="5559"/>
    <col width="2.140625" customWidth="1" style="46" min="5560" max="5560"/>
    <col width="19" customWidth="1" style="46" min="5561" max="5561"/>
    <col width="37.42578125" customWidth="1" style="46" min="5562" max="5562"/>
    <col width="11.42578125" customWidth="1" style="46" min="5563" max="5652"/>
    <col width="11.42578125" customWidth="1" style="46" min="5653" max="5806"/>
    <col hidden="1" width="13" customWidth="1" style="46" min="5807" max="5807"/>
    <col width="9" customWidth="1" style="46" min="5808" max="5808"/>
    <col hidden="1" width="13" customWidth="1" style="46" min="5809" max="5809"/>
    <col width="78" customWidth="1" style="46" min="5810" max="5810"/>
    <col width="14.28515625" customWidth="1" style="46" min="5811" max="5811"/>
    <col width="12.42578125" customWidth="1" style="46" min="5812" max="5812"/>
    <col width="19" customWidth="1" style="46" min="5813" max="5813"/>
    <col width="11.28515625" customWidth="1" style="46" min="5814" max="5814"/>
    <col width="19" customWidth="1" style="46" min="5815" max="5815"/>
    <col width="2.140625" customWidth="1" style="46" min="5816" max="5816"/>
    <col width="19" customWidth="1" style="46" min="5817" max="5817"/>
    <col width="37.42578125" customWidth="1" style="46" min="5818" max="5818"/>
    <col width="11.42578125" customWidth="1" style="46" min="5819" max="5908"/>
    <col width="11.42578125" customWidth="1" style="46" min="5909" max="6062"/>
    <col hidden="1" width="13" customWidth="1" style="46" min="6063" max="6063"/>
    <col width="9" customWidth="1" style="46" min="6064" max="6064"/>
    <col hidden="1" width="13" customWidth="1" style="46" min="6065" max="6065"/>
    <col width="78" customWidth="1" style="46" min="6066" max="6066"/>
    <col width="14.28515625" customWidth="1" style="46" min="6067" max="6067"/>
    <col width="12.42578125" customWidth="1" style="46" min="6068" max="6068"/>
    <col width="19" customWidth="1" style="46" min="6069" max="6069"/>
    <col width="11.28515625" customWidth="1" style="46" min="6070" max="6070"/>
    <col width="19" customWidth="1" style="46" min="6071" max="6071"/>
    <col width="2.140625" customWidth="1" style="46" min="6072" max="6072"/>
    <col width="19" customWidth="1" style="46" min="6073" max="6073"/>
    <col width="37.42578125" customWidth="1" style="46" min="6074" max="6074"/>
    <col width="11.42578125" customWidth="1" style="46" min="6075" max="6164"/>
    <col width="11.42578125" customWidth="1" style="46" min="6165" max="6318"/>
    <col hidden="1" width="13" customWidth="1" style="46" min="6319" max="6319"/>
    <col width="9" customWidth="1" style="46" min="6320" max="6320"/>
    <col hidden="1" width="13" customWidth="1" style="46" min="6321" max="6321"/>
    <col width="78" customWidth="1" style="46" min="6322" max="6322"/>
    <col width="14.28515625" customWidth="1" style="46" min="6323" max="6323"/>
    <col width="12.42578125" customWidth="1" style="46" min="6324" max="6324"/>
    <col width="19" customWidth="1" style="46" min="6325" max="6325"/>
    <col width="11.28515625" customWidth="1" style="46" min="6326" max="6326"/>
    <col width="19" customWidth="1" style="46" min="6327" max="6327"/>
    <col width="2.140625" customWidth="1" style="46" min="6328" max="6328"/>
    <col width="19" customWidth="1" style="46" min="6329" max="6329"/>
    <col width="37.42578125" customWidth="1" style="46" min="6330" max="6330"/>
    <col width="11.42578125" customWidth="1" style="46" min="6331" max="6420"/>
    <col width="11.42578125" customWidth="1" style="46" min="6421" max="6574"/>
    <col hidden="1" width="13" customWidth="1" style="46" min="6575" max="6575"/>
    <col width="9" customWidth="1" style="46" min="6576" max="6576"/>
    <col hidden="1" width="13" customWidth="1" style="46" min="6577" max="6577"/>
    <col width="78" customWidth="1" style="46" min="6578" max="6578"/>
    <col width="14.28515625" customWidth="1" style="46" min="6579" max="6579"/>
    <col width="12.42578125" customWidth="1" style="46" min="6580" max="6580"/>
    <col width="19" customWidth="1" style="46" min="6581" max="6581"/>
    <col width="11.28515625" customWidth="1" style="46" min="6582" max="6582"/>
    <col width="19" customWidth="1" style="46" min="6583" max="6583"/>
    <col width="2.140625" customWidth="1" style="46" min="6584" max="6584"/>
    <col width="19" customWidth="1" style="46" min="6585" max="6585"/>
    <col width="37.42578125" customWidth="1" style="46" min="6586" max="6586"/>
    <col width="11.42578125" customWidth="1" style="46" min="6587" max="6676"/>
    <col width="11.42578125" customWidth="1" style="46" min="6677" max="6830"/>
    <col hidden="1" width="13" customWidth="1" style="46" min="6831" max="6831"/>
    <col width="9" customWidth="1" style="46" min="6832" max="6832"/>
    <col hidden="1" width="13" customWidth="1" style="46" min="6833" max="6833"/>
    <col width="78" customWidth="1" style="46" min="6834" max="6834"/>
    <col width="14.28515625" customWidth="1" style="46" min="6835" max="6835"/>
    <col width="12.42578125" customWidth="1" style="46" min="6836" max="6836"/>
    <col width="19" customWidth="1" style="46" min="6837" max="6837"/>
    <col width="11.28515625" customWidth="1" style="46" min="6838" max="6838"/>
    <col width="19" customWidth="1" style="46" min="6839" max="6839"/>
    <col width="2.140625" customWidth="1" style="46" min="6840" max="6840"/>
    <col width="19" customWidth="1" style="46" min="6841" max="6841"/>
    <col width="37.42578125" customWidth="1" style="46" min="6842" max="6842"/>
    <col width="11.42578125" customWidth="1" style="46" min="6843" max="6932"/>
    <col width="11.42578125" customWidth="1" style="46" min="6933" max="7086"/>
    <col hidden="1" width="13" customWidth="1" style="46" min="7087" max="7087"/>
    <col width="9" customWidth="1" style="46" min="7088" max="7088"/>
    <col hidden="1" width="13" customWidth="1" style="46" min="7089" max="7089"/>
    <col width="78" customWidth="1" style="46" min="7090" max="7090"/>
    <col width="14.28515625" customWidth="1" style="46" min="7091" max="7091"/>
    <col width="12.42578125" customWidth="1" style="46" min="7092" max="7092"/>
    <col width="19" customWidth="1" style="46" min="7093" max="7093"/>
    <col width="11.28515625" customWidth="1" style="46" min="7094" max="7094"/>
    <col width="19" customWidth="1" style="46" min="7095" max="7095"/>
    <col width="2.140625" customWidth="1" style="46" min="7096" max="7096"/>
    <col width="19" customWidth="1" style="46" min="7097" max="7097"/>
    <col width="37.42578125" customWidth="1" style="46" min="7098" max="7098"/>
    <col width="11.42578125" customWidth="1" style="46" min="7099" max="7188"/>
    <col width="11.42578125" customWidth="1" style="46" min="7189" max="7342"/>
    <col hidden="1" width="13" customWidth="1" style="46" min="7343" max="7343"/>
    <col width="9" customWidth="1" style="46" min="7344" max="7344"/>
    <col hidden="1" width="13" customWidth="1" style="46" min="7345" max="7345"/>
    <col width="78" customWidth="1" style="46" min="7346" max="7346"/>
    <col width="14.28515625" customWidth="1" style="46" min="7347" max="7347"/>
    <col width="12.42578125" customWidth="1" style="46" min="7348" max="7348"/>
    <col width="19" customWidth="1" style="46" min="7349" max="7349"/>
    <col width="11.28515625" customWidth="1" style="46" min="7350" max="7350"/>
    <col width="19" customWidth="1" style="46" min="7351" max="7351"/>
    <col width="2.140625" customWidth="1" style="46" min="7352" max="7352"/>
    <col width="19" customWidth="1" style="46" min="7353" max="7353"/>
    <col width="37.42578125" customWidth="1" style="46" min="7354" max="7354"/>
    <col width="11.42578125" customWidth="1" style="46" min="7355" max="7444"/>
    <col width="11.42578125" customWidth="1" style="46" min="7445" max="7598"/>
    <col hidden="1" width="13" customWidth="1" style="46" min="7599" max="7599"/>
    <col width="9" customWidth="1" style="46" min="7600" max="7600"/>
    <col hidden="1" width="13" customWidth="1" style="46" min="7601" max="7601"/>
    <col width="78" customWidth="1" style="46" min="7602" max="7602"/>
    <col width="14.28515625" customWidth="1" style="46" min="7603" max="7603"/>
    <col width="12.42578125" customWidth="1" style="46" min="7604" max="7604"/>
    <col width="19" customWidth="1" style="46" min="7605" max="7605"/>
    <col width="11.28515625" customWidth="1" style="46" min="7606" max="7606"/>
    <col width="19" customWidth="1" style="46" min="7607" max="7607"/>
    <col width="2.140625" customWidth="1" style="46" min="7608" max="7608"/>
    <col width="19" customWidth="1" style="46" min="7609" max="7609"/>
    <col width="37.42578125" customWidth="1" style="46" min="7610" max="7610"/>
    <col width="11.42578125" customWidth="1" style="46" min="7611" max="7700"/>
    <col width="11.42578125" customWidth="1" style="46" min="7701" max="7854"/>
    <col hidden="1" width="13" customWidth="1" style="46" min="7855" max="7855"/>
    <col width="9" customWidth="1" style="46" min="7856" max="7856"/>
    <col hidden="1" width="13" customWidth="1" style="46" min="7857" max="7857"/>
    <col width="78" customWidth="1" style="46" min="7858" max="7858"/>
    <col width="14.28515625" customWidth="1" style="46" min="7859" max="7859"/>
    <col width="12.42578125" customWidth="1" style="46" min="7860" max="7860"/>
    <col width="19" customWidth="1" style="46" min="7861" max="7861"/>
    <col width="11.28515625" customWidth="1" style="46" min="7862" max="7862"/>
    <col width="19" customWidth="1" style="46" min="7863" max="7863"/>
    <col width="2.140625" customWidth="1" style="46" min="7864" max="7864"/>
    <col width="19" customWidth="1" style="46" min="7865" max="7865"/>
    <col width="37.42578125" customWidth="1" style="46" min="7866" max="7866"/>
    <col width="11.42578125" customWidth="1" style="46" min="7867" max="7956"/>
    <col width="11.42578125" customWidth="1" style="46" min="7957" max="8110"/>
    <col hidden="1" width="13" customWidth="1" style="46" min="8111" max="8111"/>
    <col width="9" customWidth="1" style="46" min="8112" max="8112"/>
    <col hidden="1" width="13" customWidth="1" style="46" min="8113" max="8113"/>
    <col width="78" customWidth="1" style="46" min="8114" max="8114"/>
    <col width="14.28515625" customWidth="1" style="46" min="8115" max="8115"/>
    <col width="12.42578125" customWidth="1" style="46" min="8116" max="8116"/>
    <col width="19" customWidth="1" style="46" min="8117" max="8117"/>
    <col width="11.28515625" customWidth="1" style="46" min="8118" max="8118"/>
    <col width="19" customWidth="1" style="46" min="8119" max="8119"/>
    <col width="2.140625" customWidth="1" style="46" min="8120" max="8120"/>
    <col width="19" customWidth="1" style="46" min="8121" max="8121"/>
    <col width="37.42578125" customWidth="1" style="46" min="8122" max="8122"/>
    <col width="11.42578125" customWidth="1" style="46" min="8123" max="8212"/>
    <col width="11.42578125" customWidth="1" style="46" min="8213" max="8366"/>
    <col hidden="1" width="13" customWidth="1" style="46" min="8367" max="8367"/>
    <col width="9" customWidth="1" style="46" min="8368" max="8368"/>
    <col hidden="1" width="13" customWidth="1" style="46" min="8369" max="8369"/>
    <col width="78" customWidth="1" style="46" min="8370" max="8370"/>
    <col width="14.28515625" customWidth="1" style="46" min="8371" max="8371"/>
    <col width="12.42578125" customWidth="1" style="46" min="8372" max="8372"/>
    <col width="19" customWidth="1" style="46" min="8373" max="8373"/>
    <col width="11.28515625" customWidth="1" style="46" min="8374" max="8374"/>
    <col width="19" customWidth="1" style="46" min="8375" max="8375"/>
    <col width="2.140625" customWidth="1" style="46" min="8376" max="8376"/>
    <col width="19" customWidth="1" style="46" min="8377" max="8377"/>
    <col width="37.42578125" customWidth="1" style="46" min="8378" max="8378"/>
    <col width="11.42578125" customWidth="1" style="46" min="8379" max="8468"/>
    <col width="11.42578125" customWidth="1" style="46" min="8469" max="8622"/>
    <col hidden="1" width="13" customWidth="1" style="46" min="8623" max="8623"/>
    <col width="9" customWidth="1" style="46" min="8624" max="8624"/>
    <col hidden="1" width="13" customWidth="1" style="46" min="8625" max="8625"/>
    <col width="78" customWidth="1" style="46" min="8626" max="8626"/>
    <col width="14.28515625" customWidth="1" style="46" min="8627" max="8627"/>
    <col width="12.42578125" customWidth="1" style="46" min="8628" max="8628"/>
    <col width="19" customWidth="1" style="46" min="8629" max="8629"/>
    <col width="11.28515625" customWidth="1" style="46" min="8630" max="8630"/>
    <col width="19" customWidth="1" style="46" min="8631" max="8631"/>
    <col width="2.140625" customWidth="1" style="46" min="8632" max="8632"/>
    <col width="19" customWidth="1" style="46" min="8633" max="8633"/>
    <col width="37.42578125" customWidth="1" style="46" min="8634" max="8634"/>
    <col width="11.42578125" customWidth="1" style="46" min="8635" max="8724"/>
    <col width="11.42578125" customWidth="1" style="46" min="8725" max="8878"/>
    <col hidden="1" width="13" customWidth="1" style="46" min="8879" max="8879"/>
    <col width="9" customWidth="1" style="46" min="8880" max="8880"/>
    <col hidden="1" width="13" customWidth="1" style="46" min="8881" max="8881"/>
    <col width="78" customWidth="1" style="46" min="8882" max="8882"/>
    <col width="14.28515625" customWidth="1" style="46" min="8883" max="8883"/>
    <col width="12.42578125" customWidth="1" style="46" min="8884" max="8884"/>
    <col width="19" customWidth="1" style="46" min="8885" max="8885"/>
    <col width="11.28515625" customWidth="1" style="46" min="8886" max="8886"/>
    <col width="19" customWidth="1" style="46" min="8887" max="8887"/>
    <col width="2.140625" customWidth="1" style="46" min="8888" max="8888"/>
    <col width="19" customWidth="1" style="46" min="8889" max="8889"/>
    <col width="37.42578125" customWidth="1" style="46" min="8890" max="8890"/>
    <col width="11.42578125" customWidth="1" style="46" min="8891" max="8980"/>
    <col width="11.42578125" customWidth="1" style="46" min="8981" max="9134"/>
    <col hidden="1" width="13" customWidth="1" style="46" min="9135" max="9135"/>
    <col width="9" customWidth="1" style="46" min="9136" max="9136"/>
    <col hidden="1" width="13" customWidth="1" style="46" min="9137" max="9137"/>
    <col width="78" customWidth="1" style="46" min="9138" max="9138"/>
    <col width="14.28515625" customWidth="1" style="46" min="9139" max="9139"/>
    <col width="12.42578125" customWidth="1" style="46" min="9140" max="9140"/>
    <col width="19" customWidth="1" style="46" min="9141" max="9141"/>
    <col width="11.28515625" customWidth="1" style="46" min="9142" max="9142"/>
    <col width="19" customWidth="1" style="46" min="9143" max="9143"/>
    <col width="2.140625" customWidth="1" style="46" min="9144" max="9144"/>
    <col width="19" customWidth="1" style="46" min="9145" max="9145"/>
    <col width="37.42578125" customWidth="1" style="46" min="9146" max="9146"/>
    <col width="11.42578125" customWidth="1" style="46" min="9147" max="9236"/>
    <col width="11.42578125" customWidth="1" style="46" min="9237" max="9390"/>
    <col hidden="1" width="13" customWidth="1" style="46" min="9391" max="9391"/>
    <col width="9" customWidth="1" style="46" min="9392" max="9392"/>
    <col hidden="1" width="13" customWidth="1" style="46" min="9393" max="9393"/>
    <col width="78" customWidth="1" style="46" min="9394" max="9394"/>
    <col width="14.28515625" customWidth="1" style="46" min="9395" max="9395"/>
    <col width="12.42578125" customWidth="1" style="46" min="9396" max="9396"/>
    <col width="19" customWidth="1" style="46" min="9397" max="9397"/>
    <col width="11.28515625" customWidth="1" style="46" min="9398" max="9398"/>
    <col width="19" customWidth="1" style="46" min="9399" max="9399"/>
    <col width="2.140625" customWidth="1" style="46" min="9400" max="9400"/>
    <col width="19" customWidth="1" style="46" min="9401" max="9401"/>
    <col width="37.42578125" customWidth="1" style="46" min="9402" max="9402"/>
    <col width="11.42578125" customWidth="1" style="46" min="9403" max="9492"/>
    <col width="11.42578125" customWidth="1" style="46" min="9493" max="9646"/>
    <col hidden="1" width="13" customWidth="1" style="46" min="9647" max="9647"/>
    <col width="9" customWidth="1" style="46" min="9648" max="9648"/>
    <col hidden="1" width="13" customWidth="1" style="46" min="9649" max="9649"/>
    <col width="78" customWidth="1" style="46" min="9650" max="9650"/>
    <col width="14.28515625" customWidth="1" style="46" min="9651" max="9651"/>
    <col width="12.42578125" customWidth="1" style="46" min="9652" max="9652"/>
    <col width="19" customWidth="1" style="46" min="9653" max="9653"/>
    <col width="11.28515625" customWidth="1" style="46" min="9654" max="9654"/>
    <col width="19" customWidth="1" style="46" min="9655" max="9655"/>
    <col width="2.140625" customWidth="1" style="46" min="9656" max="9656"/>
    <col width="19" customWidth="1" style="46" min="9657" max="9657"/>
    <col width="37.42578125" customWidth="1" style="46" min="9658" max="9658"/>
    <col width="11.42578125" customWidth="1" style="46" min="9659" max="9748"/>
    <col width="11.42578125" customWidth="1" style="46" min="9749" max="9902"/>
    <col hidden="1" width="13" customWidth="1" style="46" min="9903" max="9903"/>
    <col width="9" customWidth="1" style="46" min="9904" max="9904"/>
    <col hidden="1" width="13" customWidth="1" style="46" min="9905" max="9905"/>
    <col width="78" customWidth="1" style="46" min="9906" max="9906"/>
    <col width="14.28515625" customWidth="1" style="46" min="9907" max="9907"/>
    <col width="12.42578125" customWidth="1" style="46" min="9908" max="9908"/>
    <col width="19" customWidth="1" style="46" min="9909" max="9909"/>
    <col width="11.28515625" customWidth="1" style="46" min="9910" max="9910"/>
    <col width="19" customWidth="1" style="46" min="9911" max="9911"/>
    <col width="2.140625" customWidth="1" style="46" min="9912" max="9912"/>
    <col width="19" customWidth="1" style="46" min="9913" max="9913"/>
    <col width="37.42578125" customWidth="1" style="46" min="9914" max="9914"/>
    <col width="11.42578125" customWidth="1" style="46" min="9915" max="10004"/>
    <col width="11.42578125" customWidth="1" style="46" min="10005" max="10158"/>
    <col hidden="1" width="13" customWidth="1" style="46" min="10159" max="10159"/>
    <col width="9" customWidth="1" style="46" min="10160" max="10160"/>
    <col hidden="1" width="13" customWidth="1" style="46" min="10161" max="10161"/>
    <col width="78" customWidth="1" style="46" min="10162" max="10162"/>
    <col width="14.28515625" customWidth="1" style="46" min="10163" max="10163"/>
    <col width="12.42578125" customWidth="1" style="46" min="10164" max="10164"/>
    <col width="19" customWidth="1" style="46" min="10165" max="10165"/>
    <col width="11.28515625" customWidth="1" style="46" min="10166" max="10166"/>
    <col width="19" customWidth="1" style="46" min="10167" max="10167"/>
    <col width="2.140625" customWidth="1" style="46" min="10168" max="10168"/>
    <col width="19" customWidth="1" style="46" min="10169" max="10169"/>
    <col width="37.42578125" customWidth="1" style="46" min="10170" max="10170"/>
    <col width="11.42578125" customWidth="1" style="46" min="10171" max="10260"/>
    <col width="11.42578125" customWidth="1" style="46" min="10261" max="10414"/>
    <col hidden="1" width="13" customWidth="1" style="46" min="10415" max="10415"/>
    <col width="9" customWidth="1" style="46" min="10416" max="10416"/>
    <col hidden="1" width="13" customWidth="1" style="46" min="10417" max="10417"/>
    <col width="78" customWidth="1" style="46" min="10418" max="10418"/>
    <col width="14.28515625" customWidth="1" style="46" min="10419" max="10419"/>
    <col width="12.42578125" customWidth="1" style="46" min="10420" max="10420"/>
    <col width="19" customWidth="1" style="46" min="10421" max="10421"/>
    <col width="11.28515625" customWidth="1" style="46" min="10422" max="10422"/>
    <col width="19" customWidth="1" style="46" min="10423" max="10423"/>
    <col width="2.140625" customWidth="1" style="46" min="10424" max="10424"/>
    <col width="19" customWidth="1" style="46" min="10425" max="10425"/>
    <col width="37.42578125" customWidth="1" style="46" min="10426" max="10426"/>
    <col width="11.42578125" customWidth="1" style="46" min="10427" max="10516"/>
    <col width="11.42578125" customWidth="1" style="46" min="10517" max="10670"/>
    <col hidden="1" width="13" customWidth="1" style="46" min="10671" max="10671"/>
    <col width="9" customWidth="1" style="46" min="10672" max="10672"/>
    <col hidden="1" width="13" customWidth="1" style="46" min="10673" max="10673"/>
    <col width="78" customWidth="1" style="46" min="10674" max="10674"/>
    <col width="14.28515625" customWidth="1" style="46" min="10675" max="10675"/>
    <col width="12.42578125" customWidth="1" style="46" min="10676" max="10676"/>
    <col width="19" customWidth="1" style="46" min="10677" max="10677"/>
    <col width="11.28515625" customWidth="1" style="46" min="10678" max="10678"/>
    <col width="19" customWidth="1" style="46" min="10679" max="10679"/>
    <col width="2.140625" customWidth="1" style="46" min="10680" max="10680"/>
    <col width="19" customWidth="1" style="46" min="10681" max="10681"/>
    <col width="37.42578125" customWidth="1" style="46" min="10682" max="10682"/>
    <col width="11.42578125" customWidth="1" style="46" min="10683" max="10772"/>
    <col width="11.42578125" customWidth="1" style="46" min="10773" max="10926"/>
    <col hidden="1" width="13" customWidth="1" style="46" min="10927" max="10927"/>
    <col width="9" customWidth="1" style="46" min="10928" max="10928"/>
    <col hidden="1" width="13" customWidth="1" style="46" min="10929" max="10929"/>
    <col width="78" customWidth="1" style="46" min="10930" max="10930"/>
    <col width="14.28515625" customWidth="1" style="46" min="10931" max="10931"/>
    <col width="12.42578125" customWidth="1" style="46" min="10932" max="10932"/>
    <col width="19" customWidth="1" style="46" min="10933" max="10933"/>
    <col width="11.28515625" customWidth="1" style="46" min="10934" max="10934"/>
    <col width="19" customWidth="1" style="46" min="10935" max="10935"/>
    <col width="2.140625" customWidth="1" style="46" min="10936" max="10936"/>
    <col width="19" customWidth="1" style="46" min="10937" max="10937"/>
    <col width="37.42578125" customWidth="1" style="46" min="10938" max="10938"/>
    <col width="11.42578125" customWidth="1" style="46" min="10939" max="11028"/>
    <col width="11.42578125" customWidth="1" style="46" min="11029" max="11182"/>
    <col hidden="1" width="13" customWidth="1" style="46" min="11183" max="11183"/>
    <col width="9" customWidth="1" style="46" min="11184" max="11184"/>
    <col hidden="1" width="13" customWidth="1" style="46" min="11185" max="11185"/>
    <col width="78" customWidth="1" style="46" min="11186" max="11186"/>
    <col width="14.28515625" customWidth="1" style="46" min="11187" max="11187"/>
    <col width="12.42578125" customWidth="1" style="46" min="11188" max="11188"/>
    <col width="19" customWidth="1" style="46" min="11189" max="11189"/>
    <col width="11.28515625" customWidth="1" style="46" min="11190" max="11190"/>
    <col width="19" customWidth="1" style="46" min="11191" max="11191"/>
    <col width="2.140625" customWidth="1" style="46" min="11192" max="11192"/>
    <col width="19" customWidth="1" style="46" min="11193" max="11193"/>
    <col width="37.42578125" customWidth="1" style="46" min="11194" max="11194"/>
    <col width="11.42578125" customWidth="1" style="46" min="11195" max="11284"/>
    <col width="11.42578125" customWidth="1" style="46" min="11285" max="11438"/>
    <col hidden="1" width="13" customWidth="1" style="46" min="11439" max="11439"/>
    <col width="9" customWidth="1" style="46" min="11440" max="11440"/>
    <col hidden="1" width="13" customWidth="1" style="46" min="11441" max="11441"/>
    <col width="78" customWidth="1" style="46" min="11442" max="11442"/>
    <col width="14.28515625" customWidth="1" style="46" min="11443" max="11443"/>
    <col width="12.42578125" customWidth="1" style="46" min="11444" max="11444"/>
    <col width="19" customWidth="1" style="46" min="11445" max="11445"/>
    <col width="11.28515625" customWidth="1" style="46" min="11446" max="11446"/>
    <col width="19" customWidth="1" style="46" min="11447" max="11447"/>
    <col width="2.140625" customWidth="1" style="46" min="11448" max="11448"/>
    <col width="19" customWidth="1" style="46" min="11449" max="11449"/>
    <col width="37.42578125" customWidth="1" style="46" min="11450" max="11450"/>
    <col width="11.42578125" customWidth="1" style="46" min="11451" max="11540"/>
    <col width="11.42578125" customWidth="1" style="46" min="11541" max="11694"/>
    <col hidden="1" width="13" customWidth="1" style="46" min="11695" max="11695"/>
    <col width="9" customWidth="1" style="46" min="11696" max="11696"/>
    <col hidden="1" width="13" customWidth="1" style="46" min="11697" max="11697"/>
    <col width="78" customWidth="1" style="46" min="11698" max="11698"/>
    <col width="14.28515625" customWidth="1" style="46" min="11699" max="11699"/>
    <col width="12.42578125" customWidth="1" style="46" min="11700" max="11700"/>
    <col width="19" customWidth="1" style="46" min="11701" max="11701"/>
    <col width="11.28515625" customWidth="1" style="46" min="11702" max="11702"/>
    <col width="19" customWidth="1" style="46" min="11703" max="11703"/>
    <col width="2.140625" customWidth="1" style="46" min="11704" max="11704"/>
    <col width="19" customWidth="1" style="46" min="11705" max="11705"/>
    <col width="37.42578125" customWidth="1" style="46" min="11706" max="11706"/>
    <col width="11.42578125" customWidth="1" style="46" min="11707" max="11796"/>
    <col width="11.42578125" customWidth="1" style="46" min="11797" max="11950"/>
    <col hidden="1" width="13" customWidth="1" style="46" min="11951" max="11951"/>
    <col width="9" customWidth="1" style="46" min="11952" max="11952"/>
    <col hidden="1" width="13" customWidth="1" style="46" min="11953" max="11953"/>
    <col width="78" customWidth="1" style="46" min="11954" max="11954"/>
    <col width="14.28515625" customWidth="1" style="46" min="11955" max="11955"/>
    <col width="12.42578125" customWidth="1" style="46" min="11956" max="11956"/>
    <col width="19" customWidth="1" style="46" min="11957" max="11957"/>
    <col width="11.28515625" customWidth="1" style="46" min="11958" max="11958"/>
    <col width="19" customWidth="1" style="46" min="11959" max="11959"/>
    <col width="2.140625" customWidth="1" style="46" min="11960" max="11960"/>
    <col width="19" customWidth="1" style="46" min="11961" max="11961"/>
    <col width="37.42578125" customWidth="1" style="46" min="11962" max="11962"/>
    <col width="11.42578125" customWidth="1" style="46" min="11963" max="12052"/>
    <col width="11.42578125" customWidth="1" style="46" min="12053" max="12206"/>
    <col hidden="1" width="13" customWidth="1" style="46" min="12207" max="12207"/>
    <col width="9" customWidth="1" style="46" min="12208" max="12208"/>
    <col hidden="1" width="13" customWidth="1" style="46" min="12209" max="12209"/>
    <col width="78" customWidth="1" style="46" min="12210" max="12210"/>
    <col width="14.28515625" customWidth="1" style="46" min="12211" max="12211"/>
    <col width="12.42578125" customWidth="1" style="46" min="12212" max="12212"/>
    <col width="19" customWidth="1" style="46" min="12213" max="12213"/>
    <col width="11.28515625" customWidth="1" style="46" min="12214" max="12214"/>
    <col width="19" customWidth="1" style="46" min="12215" max="12215"/>
    <col width="2.140625" customWidth="1" style="46" min="12216" max="12216"/>
    <col width="19" customWidth="1" style="46" min="12217" max="12217"/>
    <col width="37.42578125" customWidth="1" style="46" min="12218" max="12218"/>
    <col width="11.42578125" customWidth="1" style="46" min="12219" max="12308"/>
    <col width="11.42578125" customWidth="1" style="46" min="12309" max="12462"/>
    <col hidden="1" width="13" customWidth="1" style="46" min="12463" max="12463"/>
    <col width="9" customWidth="1" style="46" min="12464" max="12464"/>
    <col hidden="1" width="13" customWidth="1" style="46" min="12465" max="12465"/>
    <col width="78" customWidth="1" style="46" min="12466" max="12466"/>
    <col width="14.28515625" customWidth="1" style="46" min="12467" max="12467"/>
    <col width="12.42578125" customWidth="1" style="46" min="12468" max="12468"/>
    <col width="19" customWidth="1" style="46" min="12469" max="12469"/>
    <col width="11.28515625" customWidth="1" style="46" min="12470" max="12470"/>
    <col width="19" customWidth="1" style="46" min="12471" max="12471"/>
    <col width="2.140625" customWidth="1" style="46" min="12472" max="12472"/>
    <col width="19" customWidth="1" style="46" min="12473" max="12473"/>
    <col width="37.42578125" customWidth="1" style="46" min="12474" max="12474"/>
    <col width="11.42578125" customWidth="1" style="46" min="12475" max="12564"/>
    <col width="11.42578125" customWidth="1" style="46" min="12565" max="12718"/>
    <col hidden="1" width="13" customWidth="1" style="46" min="12719" max="12719"/>
    <col width="9" customWidth="1" style="46" min="12720" max="12720"/>
    <col hidden="1" width="13" customWidth="1" style="46" min="12721" max="12721"/>
    <col width="78" customWidth="1" style="46" min="12722" max="12722"/>
    <col width="14.28515625" customWidth="1" style="46" min="12723" max="12723"/>
    <col width="12.42578125" customWidth="1" style="46" min="12724" max="12724"/>
    <col width="19" customWidth="1" style="46" min="12725" max="12725"/>
    <col width="11.28515625" customWidth="1" style="46" min="12726" max="12726"/>
    <col width="19" customWidth="1" style="46" min="12727" max="12727"/>
    <col width="2.140625" customWidth="1" style="46" min="12728" max="12728"/>
    <col width="19" customWidth="1" style="46" min="12729" max="12729"/>
    <col width="37.42578125" customWidth="1" style="46" min="12730" max="12730"/>
    <col width="11.42578125" customWidth="1" style="46" min="12731" max="12820"/>
    <col width="11.42578125" customWidth="1" style="46" min="12821" max="12974"/>
    <col hidden="1" width="13" customWidth="1" style="46" min="12975" max="12975"/>
    <col width="9" customWidth="1" style="46" min="12976" max="12976"/>
    <col hidden="1" width="13" customWidth="1" style="46" min="12977" max="12977"/>
    <col width="78" customWidth="1" style="46" min="12978" max="12978"/>
    <col width="14.28515625" customWidth="1" style="46" min="12979" max="12979"/>
    <col width="12.42578125" customWidth="1" style="46" min="12980" max="12980"/>
    <col width="19" customWidth="1" style="46" min="12981" max="12981"/>
    <col width="11.28515625" customWidth="1" style="46" min="12982" max="12982"/>
    <col width="19" customWidth="1" style="46" min="12983" max="12983"/>
    <col width="2.140625" customWidth="1" style="46" min="12984" max="12984"/>
    <col width="19" customWidth="1" style="46" min="12985" max="12985"/>
    <col width="37.42578125" customWidth="1" style="46" min="12986" max="12986"/>
    <col width="11.42578125" customWidth="1" style="46" min="12987" max="13076"/>
    <col width="11.42578125" customWidth="1" style="46" min="13077" max="13230"/>
    <col hidden="1" width="13" customWidth="1" style="46" min="13231" max="13231"/>
    <col width="9" customWidth="1" style="46" min="13232" max="13232"/>
    <col hidden="1" width="13" customWidth="1" style="46" min="13233" max="13233"/>
    <col width="78" customWidth="1" style="46" min="13234" max="13234"/>
    <col width="14.28515625" customWidth="1" style="46" min="13235" max="13235"/>
    <col width="12.42578125" customWidth="1" style="46" min="13236" max="13236"/>
    <col width="19" customWidth="1" style="46" min="13237" max="13237"/>
    <col width="11.28515625" customWidth="1" style="46" min="13238" max="13238"/>
    <col width="19" customWidth="1" style="46" min="13239" max="13239"/>
    <col width="2.140625" customWidth="1" style="46" min="13240" max="13240"/>
    <col width="19" customWidth="1" style="46" min="13241" max="13241"/>
    <col width="37.42578125" customWidth="1" style="46" min="13242" max="13242"/>
    <col width="11.42578125" customWidth="1" style="46" min="13243" max="13332"/>
    <col width="11.42578125" customWidth="1" style="46" min="13333" max="13486"/>
    <col hidden="1" width="13" customWidth="1" style="46" min="13487" max="13487"/>
    <col width="9" customWidth="1" style="46" min="13488" max="13488"/>
    <col hidden="1" width="13" customWidth="1" style="46" min="13489" max="13489"/>
    <col width="78" customWidth="1" style="46" min="13490" max="13490"/>
    <col width="14.28515625" customWidth="1" style="46" min="13491" max="13491"/>
    <col width="12.42578125" customWidth="1" style="46" min="13492" max="13492"/>
    <col width="19" customWidth="1" style="46" min="13493" max="13493"/>
    <col width="11.28515625" customWidth="1" style="46" min="13494" max="13494"/>
    <col width="19" customWidth="1" style="46" min="13495" max="13495"/>
    <col width="2.140625" customWidth="1" style="46" min="13496" max="13496"/>
    <col width="19" customWidth="1" style="46" min="13497" max="13497"/>
    <col width="37.42578125" customWidth="1" style="46" min="13498" max="13498"/>
    <col width="11.42578125" customWidth="1" style="46" min="13499" max="13588"/>
    <col width="11.42578125" customWidth="1" style="46" min="13589" max="13742"/>
    <col hidden="1" width="13" customWidth="1" style="46" min="13743" max="13743"/>
    <col width="9" customWidth="1" style="46" min="13744" max="13744"/>
    <col hidden="1" width="13" customWidth="1" style="46" min="13745" max="13745"/>
    <col width="78" customWidth="1" style="46" min="13746" max="13746"/>
    <col width="14.28515625" customWidth="1" style="46" min="13747" max="13747"/>
    <col width="12.42578125" customWidth="1" style="46" min="13748" max="13748"/>
    <col width="19" customWidth="1" style="46" min="13749" max="13749"/>
    <col width="11.28515625" customWidth="1" style="46" min="13750" max="13750"/>
    <col width="19" customWidth="1" style="46" min="13751" max="13751"/>
    <col width="2.140625" customWidth="1" style="46" min="13752" max="13752"/>
    <col width="19" customWidth="1" style="46" min="13753" max="13753"/>
    <col width="37.42578125" customWidth="1" style="46" min="13754" max="13754"/>
    <col width="11.42578125" customWidth="1" style="46" min="13755" max="13844"/>
    <col width="11.42578125" customWidth="1" style="46" min="13845" max="13998"/>
    <col hidden="1" width="13" customWidth="1" style="46" min="13999" max="13999"/>
    <col width="9" customWidth="1" style="46" min="14000" max="14000"/>
    <col hidden="1" width="13" customWidth="1" style="46" min="14001" max="14001"/>
    <col width="78" customWidth="1" style="46" min="14002" max="14002"/>
    <col width="14.28515625" customWidth="1" style="46" min="14003" max="14003"/>
    <col width="12.42578125" customWidth="1" style="46" min="14004" max="14004"/>
    <col width="19" customWidth="1" style="46" min="14005" max="14005"/>
    <col width="11.28515625" customWidth="1" style="46" min="14006" max="14006"/>
    <col width="19" customWidth="1" style="46" min="14007" max="14007"/>
    <col width="2.140625" customWidth="1" style="46" min="14008" max="14008"/>
    <col width="19" customWidth="1" style="46" min="14009" max="14009"/>
    <col width="37.42578125" customWidth="1" style="46" min="14010" max="14010"/>
    <col width="11.42578125" customWidth="1" style="46" min="14011" max="14100"/>
    <col width="11.42578125" customWidth="1" style="46" min="14101" max="14254"/>
    <col hidden="1" width="13" customWidth="1" style="46" min="14255" max="14255"/>
    <col width="9" customWidth="1" style="46" min="14256" max="14256"/>
    <col hidden="1" width="13" customWidth="1" style="46" min="14257" max="14257"/>
    <col width="78" customWidth="1" style="46" min="14258" max="14258"/>
    <col width="14.28515625" customWidth="1" style="46" min="14259" max="14259"/>
    <col width="12.42578125" customWidth="1" style="46" min="14260" max="14260"/>
    <col width="19" customWidth="1" style="46" min="14261" max="14261"/>
    <col width="11.28515625" customWidth="1" style="46" min="14262" max="14262"/>
    <col width="19" customWidth="1" style="46" min="14263" max="14263"/>
    <col width="2.140625" customWidth="1" style="46" min="14264" max="14264"/>
    <col width="19" customWidth="1" style="46" min="14265" max="14265"/>
    <col width="37.42578125" customWidth="1" style="46" min="14266" max="14266"/>
    <col width="11.42578125" customWidth="1" style="46" min="14267" max="14356"/>
    <col width="11.42578125" customWidth="1" style="46" min="14357" max="14510"/>
    <col hidden="1" width="13" customWidth="1" style="46" min="14511" max="14511"/>
    <col width="9" customWidth="1" style="46" min="14512" max="14512"/>
    <col hidden="1" width="13" customWidth="1" style="46" min="14513" max="14513"/>
    <col width="78" customWidth="1" style="46" min="14514" max="14514"/>
    <col width="14.28515625" customWidth="1" style="46" min="14515" max="14515"/>
    <col width="12.42578125" customWidth="1" style="46" min="14516" max="14516"/>
    <col width="19" customWidth="1" style="46" min="14517" max="14517"/>
    <col width="11.28515625" customWidth="1" style="46" min="14518" max="14518"/>
    <col width="19" customWidth="1" style="46" min="14519" max="14519"/>
    <col width="2.140625" customWidth="1" style="46" min="14520" max="14520"/>
    <col width="19" customWidth="1" style="46" min="14521" max="14521"/>
    <col width="37.42578125" customWidth="1" style="46" min="14522" max="14522"/>
    <col width="11.42578125" customWidth="1" style="46" min="14523" max="14612"/>
    <col width="11.42578125" customWidth="1" style="46" min="14613" max="14766"/>
    <col hidden="1" width="13" customWidth="1" style="46" min="14767" max="14767"/>
    <col width="9" customWidth="1" style="46" min="14768" max="14768"/>
    <col hidden="1" width="13" customWidth="1" style="46" min="14769" max="14769"/>
    <col width="78" customWidth="1" style="46" min="14770" max="14770"/>
    <col width="14.28515625" customWidth="1" style="46" min="14771" max="14771"/>
    <col width="12.42578125" customWidth="1" style="46" min="14772" max="14772"/>
    <col width="19" customWidth="1" style="46" min="14773" max="14773"/>
    <col width="11.28515625" customWidth="1" style="46" min="14774" max="14774"/>
    <col width="19" customWidth="1" style="46" min="14775" max="14775"/>
    <col width="2.140625" customWidth="1" style="46" min="14776" max="14776"/>
    <col width="19" customWidth="1" style="46" min="14777" max="14777"/>
    <col width="37.42578125" customWidth="1" style="46" min="14778" max="14778"/>
    <col width="11.42578125" customWidth="1" style="46" min="14779" max="14868"/>
    <col width="11.42578125" customWidth="1" style="46" min="14869" max="15022"/>
    <col hidden="1" width="13" customWidth="1" style="46" min="15023" max="15023"/>
    <col width="9" customWidth="1" style="46" min="15024" max="15024"/>
    <col hidden="1" width="13" customWidth="1" style="46" min="15025" max="15025"/>
    <col width="78" customWidth="1" style="46" min="15026" max="15026"/>
    <col width="14.28515625" customWidth="1" style="46" min="15027" max="15027"/>
    <col width="12.42578125" customWidth="1" style="46" min="15028" max="15028"/>
    <col width="19" customWidth="1" style="46" min="15029" max="15029"/>
    <col width="11.28515625" customWidth="1" style="46" min="15030" max="15030"/>
    <col width="19" customWidth="1" style="46" min="15031" max="15031"/>
    <col width="2.140625" customWidth="1" style="46" min="15032" max="15032"/>
    <col width="19" customWidth="1" style="46" min="15033" max="15033"/>
    <col width="37.42578125" customWidth="1" style="46" min="15034" max="15034"/>
    <col width="11.42578125" customWidth="1" style="46" min="15035" max="15124"/>
    <col width="11.42578125" customWidth="1" style="46" min="15125" max="15278"/>
    <col hidden="1" width="13" customWidth="1" style="46" min="15279" max="15279"/>
    <col width="9" customWidth="1" style="46" min="15280" max="15280"/>
    <col hidden="1" width="13" customWidth="1" style="46" min="15281" max="15281"/>
    <col width="78" customWidth="1" style="46" min="15282" max="15282"/>
    <col width="14.28515625" customWidth="1" style="46" min="15283" max="15283"/>
    <col width="12.42578125" customWidth="1" style="46" min="15284" max="15284"/>
    <col width="19" customWidth="1" style="46" min="15285" max="15285"/>
    <col width="11.28515625" customWidth="1" style="46" min="15286" max="15286"/>
    <col width="19" customWidth="1" style="46" min="15287" max="15287"/>
    <col width="2.140625" customWidth="1" style="46" min="15288" max="15288"/>
    <col width="19" customWidth="1" style="46" min="15289" max="15289"/>
    <col width="37.42578125" customWidth="1" style="46" min="15290" max="15290"/>
    <col width="11.42578125" customWidth="1" style="46" min="15291" max="15380"/>
    <col width="11.42578125" customWidth="1" style="46" min="15381" max="15534"/>
    <col hidden="1" width="13" customWidth="1" style="46" min="15535" max="15535"/>
    <col width="9" customWidth="1" style="46" min="15536" max="15536"/>
    <col hidden="1" width="13" customWidth="1" style="46" min="15537" max="15537"/>
    <col width="78" customWidth="1" style="46" min="15538" max="15538"/>
    <col width="14.28515625" customWidth="1" style="46" min="15539" max="15539"/>
    <col width="12.42578125" customWidth="1" style="46" min="15540" max="15540"/>
    <col width="19" customWidth="1" style="46" min="15541" max="15541"/>
    <col width="11.28515625" customWidth="1" style="46" min="15542" max="15542"/>
    <col width="19" customWidth="1" style="46" min="15543" max="15543"/>
    <col width="2.140625" customWidth="1" style="46" min="15544" max="15544"/>
    <col width="19" customWidth="1" style="46" min="15545" max="15545"/>
    <col width="37.42578125" customWidth="1" style="46" min="15546" max="15546"/>
    <col width="11.42578125" customWidth="1" style="46" min="15547" max="15636"/>
    <col width="11.42578125" customWidth="1" style="46" min="15637" max="15790"/>
    <col hidden="1" width="13" customWidth="1" style="46" min="15791" max="15791"/>
    <col width="9" customWidth="1" style="46" min="15792" max="15792"/>
    <col hidden="1" width="13" customWidth="1" style="46" min="15793" max="15793"/>
    <col width="78" customWidth="1" style="46" min="15794" max="15794"/>
    <col width="14.28515625" customWidth="1" style="46" min="15795" max="15795"/>
    <col width="12.42578125" customWidth="1" style="46" min="15796" max="15796"/>
    <col width="19" customWidth="1" style="46" min="15797" max="15797"/>
    <col width="11.28515625" customWidth="1" style="46" min="15798" max="15798"/>
    <col width="19" customWidth="1" style="46" min="15799" max="15799"/>
    <col width="2.140625" customWidth="1" style="46" min="15800" max="15800"/>
    <col width="19" customWidth="1" style="46" min="15801" max="15801"/>
    <col width="37.42578125" customWidth="1" style="46" min="15802" max="15802"/>
    <col width="11.42578125" customWidth="1" style="46" min="15803" max="15892"/>
    <col width="11.42578125" customWidth="1" style="46" min="15893" max="16046"/>
    <col hidden="1" width="13" customWidth="1" style="46" min="16047" max="16047"/>
    <col width="9" customWidth="1" style="46" min="16048" max="16048"/>
    <col hidden="1" width="13" customWidth="1" style="46" min="16049" max="16049"/>
    <col width="78" customWidth="1" style="46" min="16050" max="16050"/>
    <col width="14.28515625" customWidth="1" style="46" min="16051" max="16051"/>
    <col width="12.42578125" customWidth="1" style="46" min="16052" max="16052"/>
    <col width="19" customWidth="1" style="46" min="16053" max="16053"/>
    <col width="11.28515625" customWidth="1" style="46" min="16054" max="16054"/>
    <col width="19" customWidth="1" style="46" min="16055" max="16055"/>
    <col width="2.140625" customWidth="1" style="46" min="16056" max="16056"/>
    <col width="19" customWidth="1" style="46" min="16057" max="16057"/>
    <col width="37.42578125" customWidth="1" style="46" min="16058" max="16058"/>
    <col width="11.42578125" customWidth="1" style="46" min="16059" max="16148"/>
    <col width="11.42578125" customWidth="1" style="46" min="16149" max="16384"/>
  </cols>
  <sheetData>
    <row r="1" ht="38.25" customHeight="1" thickBot="1">
      <c r="A1" s="39" t="inlineStr">
        <is>
          <t>Variation Register</t>
        </is>
      </c>
      <c r="B1" s="484" t="n"/>
      <c r="C1" s="484" t="n"/>
      <c r="D1" s="484" t="n"/>
      <c r="E1" s="484" t="n"/>
      <c r="F1" s="42" t="n"/>
      <c r="G1" s="132">
        <f>TODAY()</f>
        <v/>
      </c>
    </row>
    <row r="2" ht="20.25" customHeight="1" thickBot="1">
      <c r="A2" s="44" t="n"/>
      <c r="C2" s="46" t="n"/>
      <c r="D2" s="46" t="n"/>
      <c r="E2" s="46" t="n"/>
      <c r="F2" s="46" t="n"/>
    </row>
    <row r="3" ht="33.75" customFormat="1" customHeight="1" s="59" thickBot="1">
      <c r="A3" s="309" t="inlineStr">
        <is>
          <t>VO#</t>
        </is>
      </c>
      <c r="B3" s="310" t="inlineStr">
        <is>
          <t>DESCRIPTION</t>
        </is>
      </c>
      <c r="C3" s="311" t="inlineStr">
        <is>
          <t>VARIATION VALUE</t>
        </is>
      </c>
      <c r="D3" s="311" t="inlineStr">
        <is>
          <t>BANK APPROVED</t>
        </is>
      </c>
      <c r="E3" s="312" t="inlineStr">
        <is>
          <t>Client Approved</t>
        </is>
      </c>
      <c r="F3" s="536" t="inlineStr">
        <is>
          <t>Pending</t>
        </is>
      </c>
      <c r="G3" s="310" t="inlineStr">
        <is>
          <t>NOTES</t>
        </is>
      </c>
    </row>
    <row r="4" ht="28.9" customHeight="1">
      <c r="A4" s="186" t="n">
        <v>1</v>
      </c>
      <c r="B4" s="189" t="inlineStr">
        <is>
          <t xml:space="preserve">VO3 - east </t>
        </is>
      </c>
      <c r="C4" s="551" t="n">
        <v>1687.95</v>
      </c>
      <c r="D4" s="552" t="n">
        <v>0</v>
      </c>
      <c r="E4" s="552" t="n">
        <v>1000</v>
      </c>
      <c r="F4" s="553" t="n">
        <v>0</v>
      </c>
      <c r="G4" s="192" t="n"/>
      <c r="J4" s="192" t="n"/>
    </row>
    <row r="5" ht="28.9" customHeight="1">
      <c r="A5" s="60" t="n">
        <v>2</v>
      </c>
      <c r="B5" s="330" t="inlineStr">
        <is>
          <t>VO2 - West</t>
        </is>
      </c>
      <c r="C5" s="554" t="n">
        <v>40601.55</v>
      </c>
      <c r="D5" s="555" t="n">
        <v>40000</v>
      </c>
      <c r="E5" s="556" t="n">
        <v>0</v>
      </c>
      <c r="F5" s="557" t="n">
        <v>0</v>
      </c>
      <c r="G5" s="160" t="n"/>
      <c r="J5" s="160" t="n"/>
    </row>
    <row r="6" ht="28.9" customHeight="1">
      <c r="A6" s="60" t="n">
        <v>3</v>
      </c>
      <c r="B6" s="330" t="inlineStr">
        <is>
          <t>VO3 - BEEASt</t>
        </is>
      </c>
      <c r="C6" s="554" t="n">
        <v>21780</v>
      </c>
      <c r="D6" s="558" t="n">
        <v>0</v>
      </c>
      <c r="E6" s="555" t="n">
        <v>0</v>
      </c>
      <c r="F6" s="557" t="n">
        <v>21780</v>
      </c>
      <c r="G6" s="184" t="n"/>
    </row>
    <row r="7" ht="28.9" customHeight="1">
      <c r="A7" s="60" t="n"/>
      <c r="B7" s="331" t="inlineStr">
        <is>
          <t>TOTALS</t>
        </is>
      </c>
      <c r="C7" s="539">
        <f>SUM(C4:C6)</f>
        <v/>
      </c>
      <c r="D7" s="516">
        <f>SUM(D4:D6)</f>
        <v/>
      </c>
      <c r="E7" s="540">
        <f>SUM(E4:E6)</f>
        <v/>
      </c>
      <c r="F7" s="214">
        <f>SUM(F4:F6)</f>
        <v/>
      </c>
      <c r="G7" s="160" t="n"/>
    </row>
    <row r="8" ht="28.9" customHeight="1">
      <c r="A8" s="60" t="n"/>
      <c r="B8" s="331" t="n"/>
      <c r="C8" s="539" t="n"/>
      <c r="D8" s="540" t="n"/>
      <c r="E8" s="516" t="n"/>
      <c r="F8" s="542" t="n"/>
      <c r="G8" s="184" t="n"/>
    </row>
    <row r="9" ht="28.9" customHeight="1">
      <c r="A9" s="60" t="n"/>
      <c r="B9" s="331" t="n"/>
      <c r="C9" s="539" t="n"/>
      <c r="D9" s="516" t="n"/>
      <c r="E9" s="540" t="n"/>
      <c r="F9" s="214" t="n"/>
      <c r="G9" s="160" t="n"/>
    </row>
    <row r="10" ht="28.9" customHeight="1">
      <c r="A10" s="60" t="n"/>
      <c r="B10" s="331" t="n"/>
      <c r="C10" s="539" t="n"/>
      <c r="D10" s="516" t="n"/>
      <c r="E10" s="540" t="n"/>
      <c r="F10" s="214" t="n"/>
      <c r="G10" s="160" t="n"/>
    </row>
    <row r="11" ht="28.9" customHeight="1">
      <c r="A11" s="60" t="n"/>
      <c r="B11" s="331" t="n"/>
      <c r="C11" s="539" t="n"/>
      <c r="D11" s="516" t="n"/>
      <c r="E11" s="540" t="n"/>
      <c r="F11" s="541" t="n"/>
      <c r="G11" s="160" t="n"/>
    </row>
    <row r="12" ht="28.9" customHeight="1">
      <c r="A12" s="60" t="n"/>
      <c r="B12" s="331" t="n"/>
      <c r="C12" s="539" t="n"/>
      <c r="D12" s="516" t="n"/>
      <c r="E12" s="540" t="n"/>
      <c r="F12" s="214" t="n"/>
      <c r="G12" s="160" t="n"/>
    </row>
    <row r="13" ht="28.9" customHeight="1">
      <c r="A13" s="60" t="n"/>
      <c r="B13" s="331" t="n"/>
      <c r="C13" s="539" t="n"/>
      <c r="D13" s="516" t="n"/>
      <c r="E13" s="540" t="n"/>
      <c r="F13" s="214" t="n"/>
      <c r="G13" s="160" t="n"/>
    </row>
    <row r="14" ht="28.9" customHeight="1">
      <c r="A14" s="60" t="n"/>
      <c r="B14" s="332" t="n"/>
      <c r="C14" s="543" t="n"/>
      <c r="D14" s="516" t="n"/>
      <c r="E14" s="544" t="n"/>
      <c r="F14" s="217" t="n"/>
      <c r="G14" s="184" t="n"/>
    </row>
    <row r="15" ht="28.9" customHeight="1">
      <c r="A15" s="60" t="n"/>
      <c r="B15" s="332" t="n"/>
      <c r="C15" s="543" t="n"/>
      <c r="D15" s="516" t="n"/>
      <c r="E15" s="544" t="n"/>
      <c r="F15" s="217" t="n"/>
      <c r="G15" s="160" t="n"/>
    </row>
    <row r="16" ht="28.9" customHeight="1">
      <c r="A16" s="60" t="n"/>
      <c r="B16" s="332" t="n"/>
      <c r="C16" s="543" t="n"/>
      <c r="D16" s="516" t="n"/>
      <c r="E16" s="544" t="n"/>
      <c r="F16" s="217" t="n"/>
      <c r="G16" s="184" t="n"/>
    </row>
    <row r="17" ht="28.9" customHeight="1">
      <c r="A17" s="60" t="n"/>
      <c r="B17" s="332" t="n"/>
      <c r="C17" s="543" t="n"/>
      <c r="D17" s="516" t="n"/>
      <c r="E17" s="544" t="n"/>
      <c r="F17" s="217" t="n"/>
      <c r="G17" s="160" t="n"/>
    </row>
    <row r="18" ht="28.9" customHeight="1">
      <c r="A18" s="60" t="n"/>
      <c r="B18" s="61" t="n"/>
      <c r="C18" s="543" t="n"/>
      <c r="D18" s="516" t="n"/>
      <c r="E18" s="544" t="n"/>
      <c r="F18" s="217" t="n"/>
      <c r="G18" s="184" t="n"/>
    </row>
    <row r="19" ht="28.9" customHeight="1">
      <c r="A19" s="60" t="n"/>
      <c r="B19" s="61" t="n"/>
      <c r="C19" s="543" t="n"/>
      <c r="D19" s="516" t="n"/>
      <c r="E19" s="544" t="n"/>
      <c r="F19" s="217" t="n"/>
      <c r="G19" s="184" t="n"/>
    </row>
    <row r="20" ht="27.75" customHeight="1">
      <c r="A20" s="60" t="n"/>
      <c r="B20" s="61" t="n"/>
      <c r="C20" s="543" t="n"/>
      <c r="D20" s="516" t="n"/>
      <c r="E20" s="544" t="n"/>
      <c r="F20" s="214" t="n"/>
      <c r="G20" s="160" t="n"/>
    </row>
    <row r="21" ht="24" customFormat="1" customHeight="1" s="114">
      <c r="A21" s="60" t="n"/>
      <c r="B21" s="111" t="n"/>
      <c r="C21" s="522" t="n"/>
      <c r="D21" s="545" t="n"/>
      <c r="E21" s="521" t="n"/>
      <c r="F21" s="546" t="n"/>
      <c r="G21" s="547" t="n"/>
    </row>
    <row r="22" ht="24" customHeight="1">
      <c r="A22" s="58" t="n"/>
      <c r="B22" s="67" t="n"/>
      <c r="F22" s="46" t="n"/>
      <c r="G22" s="529" t="n"/>
    </row>
    <row r="23">
      <c r="C23" s="481" t="n"/>
      <c r="D23" s="481" t="n"/>
      <c r="E23" s="481" t="n"/>
      <c r="F23" s="46" t="n"/>
    </row>
    <row r="24">
      <c r="C24" s="481" t="n"/>
      <c r="D24" s="481" t="n"/>
      <c r="E24" s="481" t="n"/>
    </row>
    <row r="25">
      <c r="C25" s="481" t="n"/>
      <c r="D25" s="481" t="n"/>
      <c r="E25" s="481" t="n"/>
    </row>
    <row r="26"/>
    <row r="27"/>
    <row r="28"/>
    <row r="29"/>
    <row r="30"/>
  </sheetData>
  <pageMargins left="0.7" right="0.7" top="0.75" bottom="0.75" header="0.3" footer="0.3"/>
  <pageSetup orientation="portrait" paperSize="9" scale="45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David Atkinson</dc:creator>
  <dcterms:created xmlns:dcterms="http://purl.org/dc/terms/" xmlns:xsi="http://www.w3.org/2001/XMLSchema-instance" xsi:type="dcterms:W3CDTF">2019-01-29T03:33:19Z</dcterms:created>
  <dcterms:modified xmlns:dcterms="http://purl.org/dc/terms/" xmlns:xsi="http://www.w3.org/2001/XMLSchema-instance" xsi:type="dcterms:W3CDTF">2026-06-14T16:33:12Z</dcterms:modified>
  <cp:lastModifiedBy>Amy Chen</cp:lastModifiedBy>
  <cp:lastPrinted>2026-04-10T05:42:50Z</cp:lastPrinted>
</cp:coreProperties>
</file>