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2" sheetId="1" state="visible" r:id="rId1"/>
    <sheet xmlns:r="http://schemas.openxmlformats.org/officeDocument/2006/relationships" name="VO3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Internal VO Register" sheetId="4" state="visible" r:id="rId4"/>
  </sheets>
  <definedNames>
    <definedName name="_xlnm.Print_Area" localSheetId="2">'Register'!$A$1:$M$38</definedName>
    <definedName name="_xlnm.Print_Area" localSheetId="3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5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  <xf numFmtId="0" fontId="17" fillId="31" borderId="3" applyAlignment="1" pivotButton="0" quotePrefix="0" xfId="4">
      <alignment horizontal="left" vertical="center"/>
    </xf>
    <xf numFmtId="0" fontId="17" fillId="32" borderId="3" applyAlignment="1" pivotButton="0" quotePrefix="0" xfId="4">
      <alignment horizontal="left" vertical="center"/>
    </xf>
    <xf numFmtId="4" fontId="14" fillId="7" borderId="49" applyAlignment="1" applyProtection="1" pivotButton="0" quotePrefix="0" xfId="1">
      <alignment horizontal="center" vertical="center" wrapText="1"/>
      <protection locked="0" hidden="0"/>
    </xf>
    <xf numFmtId="4" fontId="14" fillId="7" borderId="49" applyAlignment="1" pivotButton="0" quotePrefix="0" xfId="1">
      <alignment horizontal="center" vertical="center"/>
    </xf>
    <xf numFmtId="4" fontId="14" fillId="7" borderId="50" applyAlignment="1" pivotButton="0" quotePrefix="0" xfId="4">
      <alignment horizontal="center" vertical="center"/>
    </xf>
    <xf numFmtId="4" fontId="14" fillId="0" borderId="4" applyAlignment="1" applyProtection="1" pivotButton="0" quotePrefix="0" xfId="1">
      <alignment horizontal="center" vertical="center" wrapText="1"/>
      <protection locked="0" hidden="0"/>
    </xf>
    <xf numFmtId="4" fontId="14" fillId="0" borderId="4" applyAlignment="1" pivotButton="0" quotePrefix="0" xfId="1">
      <alignment horizontal="center" vertical="center"/>
    </xf>
    <xf numFmtId="4" fontId="14" fillId="0" borderId="21" applyAlignment="1" pivotButton="0" quotePrefix="0" xfId="1">
      <alignment horizontal="center" vertical="center"/>
    </xf>
    <xf numFmtId="4" fontId="14" fillId="0" borderId="44" applyAlignment="1" pivotButton="0" quotePrefix="0" xfId="4">
      <alignment horizontal="center" vertical="center"/>
    </xf>
    <xf numFmtId="4" fontId="14" fillId="0" borderId="4" applyAlignment="1" applyProtection="1" pivotButton="0" quotePrefix="0" xfId="5">
      <alignment horizontal="center" vertical="center" wrapText="1"/>
      <protection locked="0" hidden="0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West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VO3 - BEEASt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GULUGULU</t>
        </is>
      </c>
      <c r="C14" s="152" t="n">
        <v>2</v>
      </c>
      <c r="D14" s="477" t="inlineStr">
        <is>
          <t>item</t>
        </is>
      </c>
      <c r="E14" s="439" t="n">
        <v>9000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SUM(F14:F19)</f>
        <v/>
      </c>
      <c r="G20" s="447">
        <f>SUM(G14:G19)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2</v>
      </c>
      <c r="B13" s="333" t="inlineStr">
        <is>
          <t xml:space="preserve">VO3 - east </t>
        </is>
      </c>
      <c r="C13" s="503" t="n"/>
      <c r="D13" s="504" t="n">
        <v>1687.95</v>
      </c>
      <c r="E13" s="505" t="n">
        <v>0</v>
      </c>
      <c r="F13" s="506" t="n">
        <v>687.95</v>
      </c>
      <c r="G13" s="507" t="n">
        <v>1000</v>
      </c>
      <c r="H13" s="508" t="n"/>
      <c r="I13" s="508" t="n"/>
      <c r="J13" s="81" t="n"/>
      <c r="K13" s="549" t="inlineStr">
        <is>
          <t>Approved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4</v>
      </c>
      <c r="B14" s="333" t="inlineStr">
        <is>
          <t>VO2 - West</t>
        </is>
      </c>
      <c r="C14" s="503" t="inlineStr">
        <is>
          <t>2026-06-14</t>
        </is>
      </c>
      <c r="D14" s="504" t="n">
        <v>40601.55</v>
      </c>
      <c r="E14" s="505" t="n">
        <v>0</v>
      </c>
      <c r="F14" s="506" t="n">
        <v>15121.55</v>
      </c>
      <c r="G14" s="507" t="n">
        <v>40000</v>
      </c>
      <c r="H14" s="509" t="n"/>
      <c r="I14" s="509" t="n"/>
      <c r="J14" s="76" t="n"/>
      <c r="K14" s="549" t="inlineStr">
        <is>
          <t>Approved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5</v>
      </c>
      <c r="B15" s="333" t="inlineStr">
        <is>
          <t>VO3 - BEEASt</t>
        </is>
      </c>
      <c r="C15" s="503" t="inlineStr">
        <is>
          <t>2026-06-14</t>
        </is>
      </c>
      <c r="D15" s="504" t="n">
        <v>21780</v>
      </c>
      <c r="E15" s="505" t="n">
        <v>21780</v>
      </c>
      <c r="F15" s="506" t="n">
        <v>0</v>
      </c>
      <c r="G15" s="507" t="n">
        <v>0</v>
      </c>
      <c r="H15" s="509" t="n"/>
      <c r="I15" s="509" t="n"/>
      <c r="J15" s="76" t="n"/>
      <c r="K15" s="550" t="inlineStr">
        <is>
          <t>Submitted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/>
      <c r="B16" s="334" t="n"/>
      <c r="C16" s="503" t="n"/>
      <c r="D16" s="504" t="n"/>
      <c r="E16" s="505" t="n"/>
      <c r="F16" s="506" t="n"/>
      <c r="G16" s="507" t="n"/>
      <c r="H16" s="509" t="n"/>
      <c r="I16" s="509" t="n"/>
      <c r="J16" s="76" t="n"/>
      <c r="K16" s="77" t="n"/>
      <c r="L16" s="146" t="n"/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64069.5</v>
      </c>
      <c r="E38" s="519" t="n">
        <v>21780</v>
      </c>
      <c r="F38" s="520" t="n">
        <v>15809.5</v>
      </c>
      <c r="G38" s="521" t="n">
        <v>41000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VO3 - east </t>
        </is>
      </c>
      <c r="C4" s="551" t="n">
        <v>1687.95</v>
      </c>
      <c r="D4" s="552" t="n">
        <v>0</v>
      </c>
      <c r="E4" s="552" t="n">
        <v>1000</v>
      </c>
      <c r="F4" s="553" t="n">
        <v>0</v>
      </c>
      <c r="G4" s="192" t="n"/>
      <c r="J4" s="192" t="n"/>
    </row>
    <row r="5" ht="28.9" customHeight="1">
      <c r="A5" s="60" t="n">
        <v>2</v>
      </c>
      <c r="B5" s="330" t="inlineStr">
        <is>
          <t>VO2 - West</t>
        </is>
      </c>
      <c r="C5" s="554" t="n">
        <v>40601.55</v>
      </c>
      <c r="D5" s="555" t="n">
        <v>40000</v>
      </c>
      <c r="E5" s="556" t="n">
        <v>0</v>
      </c>
      <c r="F5" s="557" t="n">
        <v>0</v>
      </c>
      <c r="G5" s="160" t="n"/>
      <c r="J5" s="160" t="n"/>
    </row>
    <row r="6" ht="28.9" customHeight="1">
      <c r="A6" s="60" t="n">
        <v>3</v>
      </c>
      <c r="B6" s="330" t="inlineStr">
        <is>
          <t>VO3 - BEEASt</t>
        </is>
      </c>
      <c r="C6" s="554" t="n">
        <v>21780</v>
      </c>
      <c r="D6" s="558" t="n">
        <v>0</v>
      </c>
      <c r="E6" s="555" t="n">
        <v>0</v>
      </c>
      <c r="F6" s="557" t="n">
        <v>21780</v>
      </c>
      <c r="G6" s="184" t="n"/>
    </row>
    <row r="7" ht="28.9" customHeight="1">
      <c r="A7" s="60" t="n"/>
      <c r="B7" s="331" t="inlineStr">
        <is>
          <t>TOTALS</t>
        </is>
      </c>
      <c r="C7" s="539">
        <f>SUM(C4:C6)</f>
        <v/>
      </c>
      <c r="D7" s="516">
        <f>SUM(D4:D6)</f>
        <v/>
      </c>
      <c r="E7" s="540">
        <f>SUM(E4:E6)</f>
        <v/>
      </c>
      <c r="F7" s="214">
        <f>SUM(F4:F6)</f>
        <v/>
      </c>
      <c r="G7" s="160" t="n"/>
    </row>
    <row r="8" ht="28.9" customHeight="1">
      <c r="A8" s="60" t="n"/>
      <c r="B8" s="331" t="n"/>
      <c r="C8" s="539" t="n"/>
      <c r="D8" s="540" t="n"/>
      <c r="E8" s="516" t="n"/>
      <c r="F8" s="542" t="n"/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2026-06-14T16:32:36Z</dcterms:modified>
  <cp:lastModifiedBy>Amy Chen</cp:lastModifiedBy>
  <cp:lastPrinted>2026-04-10T05:42:50Z</cp:lastPrinted>
</cp:coreProperties>
</file>