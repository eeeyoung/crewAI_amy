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utoFilterDateGrouping="1"/>
  </bookViews>
  <sheets>
    <sheet xmlns:r="http://schemas.openxmlformats.org/officeDocument/2006/relationships" name="VO1" sheetId="1" state="visible" r:id="rId1"/>
    <sheet xmlns:r="http://schemas.openxmlformats.org/officeDocument/2006/relationships" name="VO2" sheetId="2" state="visible" r:id="rId2"/>
    <sheet xmlns:r="http://schemas.openxmlformats.org/officeDocument/2006/relationships" name="VO3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Internal VO Register" sheetId="5" state="visible" r:id="rId5"/>
  </sheets>
  <definedNames>
    <definedName name="_xlnm.Print_Area" localSheetId="3">'Register'!$A$1:$M$38</definedName>
    <definedName name="_xlnm.Print_Area" localSheetId="4">'Internal VO Register'!$A$1:$G$21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4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VO1 -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123</t>
        </is>
      </c>
      <c r="C14" s="152" t="n">
        <v>1</v>
      </c>
      <c r="D14" s="477" t="inlineStr">
        <is>
          <t>item</t>
        </is>
      </c>
      <c r="E14" s="439" t="n">
        <v>500</v>
      </c>
      <c r="F14" s="478">
        <f>C14*E14</f>
        <v/>
      </c>
      <c r="G14" s="437" t="n">
        <v>4</v>
      </c>
      <c r="J14" s="438" t="n"/>
    </row>
    <row r="15">
      <c r="A15" s="107" t="n">
        <v>2</v>
      </c>
      <c r="B15" s="82" t="inlineStr">
        <is>
          <t>x22</t>
        </is>
      </c>
      <c r="C15" s="152" t="n">
        <v>1</v>
      </c>
      <c r="D15" s="477" t="inlineStr">
        <is>
          <t>item</t>
        </is>
      </c>
      <c r="E15" s="477" t="n">
        <v>90000</v>
      </c>
      <c r="F15" s="478">
        <f>C15*E15</f>
        <v/>
      </c>
      <c r="G15" s="437" t="n">
        <v>0</v>
      </c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VO2 - east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2</v>
      </c>
      <c r="B14" s="329" t="inlineStr">
        <is>
          <t>132</t>
        </is>
      </c>
      <c r="C14" s="152" t="n">
        <v>9</v>
      </c>
      <c r="D14" s="477" t="inlineStr">
        <is>
          <t>item</t>
        </is>
      </c>
      <c r="E14" s="439" t="n">
        <v>155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VO3 -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SUM(F14:F18)</f>
        <v/>
      </c>
      <c r="G20" s="447">
        <f>SUM(G14:G18)</f>
        <v/>
      </c>
    </row>
    <row r="21">
      <c r="A21" s="360" t="inlineStr">
        <is>
          <t>NETT VARIATION COST</t>
        </is>
      </c>
      <c r="F21" s="448">
        <f>F20-G20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9876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1222222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1</v>
      </c>
      <c r="B13" s="333" t="inlineStr">
        <is>
          <t xml:space="preserve">VO1 - </t>
        </is>
      </c>
      <c r="C13" s="503" t="inlineStr">
        <is>
          <t>2026-06-14</t>
        </is>
      </c>
      <c r="D13" s="504" t="n">
        <v>109500.16</v>
      </c>
      <c r="E13" s="505" t="n">
        <v>109500.16</v>
      </c>
      <c r="F13" s="506" t="n"/>
      <c r="G13" s="507" t="n">
        <v>0</v>
      </c>
      <c r="H13" s="508" t="n"/>
      <c r="I13" s="508" t="n"/>
      <c r="J13" s="81" t="n"/>
      <c r="K13" s="77" t="inlineStr">
        <is>
          <t>Submitted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2</v>
      </c>
      <c r="B14" s="333" t="inlineStr">
        <is>
          <t xml:space="preserve">VO2 - east </t>
        </is>
      </c>
      <c r="C14" s="503" t="n"/>
      <c r="D14" s="504" t="n">
        <v>1687.95</v>
      </c>
      <c r="E14" s="505" t="n">
        <v>0</v>
      </c>
      <c r="F14" s="506" t="n"/>
      <c r="G14" s="507" t="n">
        <v>1687.95</v>
      </c>
      <c r="H14" s="509" t="n"/>
      <c r="I14" s="509" t="n"/>
      <c r="J14" s="76" t="n"/>
      <c r="K14" s="77" t="inlineStr">
        <is>
          <t>Approved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>
        <v>3</v>
      </c>
      <c r="B15" s="333" t="inlineStr">
        <is>
          <t xml:space="preserve">VO3 - </t>
        </is>
      </c>
      <c r="C15" s="503" t="n"/>
      <c r="D15" s="504" t="n">
        <v>0</v>
      </c>
      <c r="E15" s="505" t="n">
        <v>0</v>
      </c>
      <c r="F15" s="506" t="n"/>
      <c r="G15" s="507" t="n">
        <v>0</v>
      </c>
      <c r="H15" s="509" t="n"/>
      <c r="I15" s="509" t="n"/>
      <c r="J15" s="76" t="n"/>
      <c r="K15" s="77" t="inlineStr">
        <is>
          <t>Pending</t>
        </is>
      </c>
      <c r="L15" s="146" t="inlineStr">
        <is>
          <t>Head Contract VO</t>
        </is>
      </c>
      <c r="M15" s="66" t="n"/>
      <c r="N15" s="59" t="n"/>
    </row>
    <row r="16" ht="28.9" customHeight="1">
      <c r="A16" s="60" t="n"/>
      <c r="B16" s="334" t="n"/>
      <c r="C16" s="503" t="n"/>
      <c r="D16" s="504" t="n"/>
      <c r="E16" s="505" t="n"/>
      <c r="F16" s="506" t="n"/>
      <c r="G16" s="507" t="n"/>
      <c r="H16" s="509" t="n"/>
      <c r="I16" s="509" t="n"/>
      <c r="J16" s="76" t="n"/>
      <c r="K16" s="77" t="n"/>
      <c r="L16" s="146" t="n"/>
      <c r="M16" s="66" t="n"/>
      <c r="N16" s="59" t="n"/>
    </row>
    <row r="17" ht="28.9" customHeight="1">
      <c r="A17" s="60" t="n"/>
      <c r="B17" s="334" t="n"/>
      <c r="C17" s="503" t="n"/>
      <c r="D17" s="504" t="n"/>
      <c r="E17" s="505" t="n"/>
      <c r="F17" s="506" t="n"/>
      <c r="G17" s="507" t="n"/>
      <c r="H17" s="509" t="n"/>
      <c r="I17" s="509" t="n"/>
      <c r="J17" s="76" t="n"/>
      <c r="K17" s="77" t="n"/>
      <c r="L17" s="146" t="n"/>
      <c r="M17" s="66" t="n"/>
      <c r="N17" s="59" t="n"/>
    </row>
    <row r="18" ht="28.9" customHeight="1">
      <c r="A18" s="60" t="n"/>
      <c r="B18" s="334" t="n"/>
      <c r="C18" s="510" t="n"/>
      <c r="D18" s="504" t="n"/>
      <c r="E18" s="505" t="n"/>
      <c r="F18" s="506" t="n"/>
      <c r="G18" s="507" t="n"/>
      <c r="H18" s="509" t="n"/>
      <c r="I18" s="509" t="n"/>
      <c r="J18" s="76" t="n"/>
      <c r="K18" s="77" t="n"/>
      <c r="L18" s="146" t="n"/>
      <c r="M18" s="66" t="n"/>
      <c r="N18" s="59" t="n"/>
    </row>
    <row r="19" ht="28.9" customHeight="1">
      <c r="A19" s="60" t="n"/>
      <c r="B19" s="334" t="n"/>
      <c r="C19" s="510" t="n"/>
      <c r="D19" s="504" t="n"/>
      <c r="E19" s="505" t="n"/>
      <c r="F19" s="506" t="n"/>
      <c r="G19" s="507" t="n"/>
      <c r="H19" s="509" t="n"/>
      <c r="I19" s="509" t="n"/>
      <c r="J19" s="76" t="n"/>
      <c r="K19" s="77" t="n"/>
      <c r="L19" s="146" t="n"/>
      <c r="M19" s="66" t="n"/>
      <c r="N19" s="59" t="n"/>
    </row>
    <row r="20" ht="28.9" customHeight="1">
      <c r="A20" s="60" t="n"/>
      <c r="B20" s="334" t="n"/>
      <c r="C20" s="510" t="n"/>
      <c r="D20" s="504" t="n"/>
      <c r="E20" s="505" t="n"/>
      <c r="F20" s="506" t="n"/>
      <c r="G20" s="507" t="n"/>
      <c r="H20" s="509" t="n"/>
      <c r="I20" s="509" t="n"/>
      <c r="J20" s="76" t="n"/>
      <c r="K20" s="77" t="n"/>
      <c r="L20" s="146" t="n"/>
      <c r="M20" s="66" t="n"/>
      <c r="N20" s="59" t="n"/>
    </row>
    <row r="21" ht="28.9" customHeight="1">
      <c r="A21" s="60" t="n"/>
      <c r="B21" s="334" t="n"/>
      <c r="C21" s="510" t="n"/>
      <c r="D21" s="504" t="n"/>
      <c r="E21" s="505" t="n"/>
      <c r="F21" s="506" t="n"/>
      <c r="G21" s="507" t="n"/>
      <c r="H21" s="509" t="n"/>
      <c r="I21" s="509" t="n"/>
      <c r="J21" s="76" t="n"/>
      <c r="K21" s="77" t="n"/>
      <c r="L21" s="146" t="n"/>
      <c r="M21" s="66" t="n"/>
      <c r="N21" s="59" t="n"/>
    </row>
    <row r="22" ht="28.9" customHeight="1">
      <c r="A22" s="60" t="n"/>
      <c r="B22" s="334" t="n"/>
      <c r="C22" s="510" t="n"/>
      <c r="D22" s="504" t="n"/>
      <c r="E22" s="505" t="n"/>
      <c r="F22" s="506" t="n"/>
      <c r="G22" s="507" t="n"/>
      <c r="H22" s="509" t="n"/>
      <c r="I22" s="509" t="n"/>
      <c r="J22" s="76" t="n"/>
      <c r="K22" s="77" t="n"/>
      <c r="L22" s="146" t="n"/>
      <c r="M22" s="66" t="n"/>
      <c r="N22" s="59" t="n"/>
    </row>
    <row r="23" ht="28.9" customHeight="1">
      <c r="A23" s="60" t="n"/>
      <c r="B23" s="334" t="n"/>
      <c r="C23" s="510" t="n"/>
      <c r="D23" s="504" t="n"/>
      <c r="E23" s="505" t="n"/>
      <c r="F23" s="506" t="n"/>
      <c r="G23" s="507" t="n"/>
      <c r="H23" s="509" t="n"/>
      <c r="I23" s="509" t="n"/>
      <c r="J23" s="76" t="n"/>
      <c r="K23" s="77" t="n"/>
      <c r="L23" s="146" t="n"/>
      <c r="M23" s="66" t="n"/>
      <c r="N23" s="511" t="n"/>
    </row>
    <row r="24" ht="28.9" customHeight="1">
      <c r="A24" s="60" t="n"/>
      <c r="B24" s="333" t="n"/>
      <c r="C24" s="510" t="n"/>
      <c r="D24" s="512" t="n"/>
      <c r="E24" s="505" t="n"/>
      <c r="F24" s="506" t="n"/>
      <c r="G24" s="507" t="n"/>
      <c r="H24" s="509" t="n"/>
      <c r="I24" s="509" t="n"/>
      <c r="J24" s="76" t="n"/>
      <c r="K24" s="77" t="n"/>
      <c r="L24" s="146" t="n"/>
      <c r="M24" s="66" t="n"/>
      <c r="N24" s="511" t="n"/>
    </row>
    <row r="25" ht="28.9" customHeight="1">
      <c r="A25" s="60" t="n"/>
      <c r="B25" s="333" t="n"/>
      <c r="C25" s="510" t="n"/>
      <c r="D25" s="512" t="n"/>
      <c r="E25" s="505" t="n"/>
      <c r="F25" s="506" t="n"/>
      <c r="G25" s="507" t="n"/>
      <c r="H25" s="509" t="n"/>
      <c r="I25" s="509" t="n"/>
      <c r="J25" s="76" t="n"/>
      <c r="K25" s="77" t="n"/>
      <c r="L25" s="146" t="n"/>
      <c r="M25" s="66" t="n"/>
      <c r="N25" s="511" t="n"/>
    </row>
    <row r="26" ht="28.9" customHeight="1">
      <c r="A26" s="60" t="n"/>
      <c r="B26" s="333" t="n"/>
      <c r="C26" s="510" t="n"/>
      <c r="D26" s="512" t="n"/>
      <c r="E26" s="505" t="n"/>
      <c r="F26" s="506" t="n"/>
      <c r="G26" s="507" t="n"/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/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/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/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/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/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/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/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/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/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111188.11</v>
      </c>
      <c r="E38" s="519" t="n">
        <v>109500.16</v>
      </c>
      <c r="F38" s="520" t="n">
        <v>0</v>
      </c>
      <c r="G38" s="521" t="n">
        <v>1687.95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 xml:space="preserve">VO1 - </t>
        </is>
      </c>
      <c r="C4" s="537" t="n">
        <v>109500.16</v>
      </c>
      <c r="D4" s="538" t="n">
        <v>0</v>
      </c>
      <c r="E4" s="538" t="n">
        <v>0</v>
      </c>
      <c r="F4" s="191" t="n">
        <v>109500.16</v>
      </c>
      <c r="G4" s="192" t="n"/>
      <c r="J4" s="192" t="n"/>
    </row>
    <row r="5" ht="28.9" customHeight="1">
      <c r="A5" s="60" t="n">
        <v>2</v>
      </c>
      <c r="B5" s="330" t="inlineStr">
        <is>
          <t xml:space="preserve">VO2 - east </t>
        </is>
      </c>
      <c r="C5" s="539" t="n">
        <v>1687.95</v>
      </c>
      <c r="D5" s="516" t="n">
        <v>0</v>
      </c>
      <c r="E5" s="507" t="n">
        <v>0</v>
      </c>
      <c r="F5" s="214" t="n">
        <v>1687.95</v>
      </c>
      <c r="G5" s="160" t="n"/>
      <c r="J5" s="160" t="n"/>
    </row>
    <row r="6" ht="28.9" customHeight="1">
      <c r="A6" s="60" t="n">
        <v>3</v>
      </c>
      <c r="B6" s="330" t="inlineStr">
        <is>
          <t xml:space="preserve">VO3 - </t>
        </is>
      </c>
      <c r="C6" s="539" t="n">
        <v>0</v>
      </c>
      <c r="D6" s="540" t="n">
        <v>0</v>
      </c>
      <c r="E6" s="516" t="n">
        <v>0</v>
      </c>
      <c r="F6" s="541" t="n">
        <v>0</v>
      </c>
      <c r="G6" s="184" t="n"/>
    </row>
    <row r="7" ht="28.9" customHeight="1">
      <c r="A7" s="60" t="n"/>
      <c r="B7" s="331" t="inlineStr">
        <is>
          <t>TOTALS</t>
        </is>
      </c>
      <c r="C7" s="539">
        <f>SUM(C4:C6)</f>
        <v/>
      </c>
      <c r="D7" s="516">
        <f>SUM(D4:D6)</f>
        <v/>
      </c>
      <c r="E7" s="540">
        <f>SUM(E4:E6)</f>
        <v/>
      </c>
      <c r="F7" s="214">
        <f>SUM(F4:F6)</f>
        <v/>
      </c>
      <c r="G7" s="160" t="n"/>
    </row>
    <row r="8" ht="28.9" customHeight="1">
      <c r="A8" s="60" t="n"/>
      <c r="B8" s="331" t="n"/>
      <c r="C8" s="539" t="n"/>
      <c r="D8" s="540" t="n"/>
      <c r="E8" s="516" t="n"/>
      <c r="F8" s="542" t="n"/>
      <c r="G8" s="184" t="n"/>
    </row>
    <row r="9" ht="28.9" customHeight="1">
      <c r="A9" s="60" t="n"/>
      <c r="B9" s="331" t="n"/>
      <c r="C9" s="539" t="n"/>
      <c r="D9" s="516" t="n"/>
      <c r="E9" s="540" t="n"/>
      <c r="F9" s="214" t="n"/>
      <c r="G9" s="160" t="n"/>
    </row>
    <row r="10" ht="28.9" customHeight="1">
      <c r="A10" s="60" t="n"/>
      <c r="B10" s="331" t="n"/>
      <c r="C10" s="539" t="n"/>
      <c r="D10" s="516" t="n"/>
      <c r="E10" s="540" t="n"/>
      <c r="F10" s="214" t="n"/>
      <c r="G10" s="160" t="n"/>
    </row>
    <row r="11" ht="28.9" customHeight="1">
      <c r="A11" s="60" t="n"/>
      <c r="B11" s="331" t="n"/>
      <c r="C11" s="539" t="n"/>
      <c r="D11" s="516" t="n"/>
      <c r="E11" s="540" t="n"/>
      <c r="F11" s="541" t="n"/>
      <c r="G11" s="160" t="n"/>
    </row>
    <row r="12" ht="28.9" customHeight="1">
      <c r="A12" s="60" t="n"/>
      <c r="B12" s="331" t="n"/>
      <c r="C12" s="539" t="n"/>
      <c r="D12" s="516" t="n"/>
      <c r="E12" s="540" t="n"/>
      <c r="F12" s="214" t="n"/>
      <c r="G12" s="160" t="n"/>
    </row>
    <row r="13" ht="28.9" customHeight="1">
      <c r="A13" s="60" t="n"/>
      <c r="B13" s="331" t="n"/>
      <c r="C13" s="539" t="n"/>
      <c r="D13" s="516" t="n"/>
      <c r="E13" s="540" t="n"/>
      <c r="F13" s="214" t="n"/>
      <c r="G13" s="160" t="n"/>
    </row>
    <row r="14" ht="28.9" customHeight="1">
      <c r="A14" s="60" t="n"/>
      <c r="B14" s="332" t="n"/>
      <c r="C14" s="543" t="n"/>
      <c r="D14" s="516" t="n"/>
      <c r="E14" s="544" t="n"/>
      <c r="F14" s="217" t="n"/>
      <c r="G14" s="184" t="n"/>
    </row>
    <row r="15" ht="28.9" customHeight="1">
      <c r="A15" s="60" t="n"/>
      <c r="B15" s="332" t="n"/>
      <c r="C15" s="543" t="n"/>
      <c r="D15" s="516" t="n"/>
      <c r="E15" s="544" t="n"/>
      <c r="F15" s="217" t="n"/>
      <c r="G15" s="160" t="n"/>
    </row>
    <row r="16" ht="28.9" customHeight="1">
      <c r="A16" s="60" t="n"/>
      <c r="B16" s="332" t="n"/>
      <c r="C16" s="543" t="n"/>
      <c r="D16" s="516" t="n"/>
      <c r="E16" s="544" t="n"/>
      <c r="F16" s="217" t="n"/>
      <c r="G16" s="184" t="n"/>
    </row>
    <row r="17" ht="28.9" customHeight="1">
      <c r="A17" s="60" t="n"/>
      <c r="B17" s="332" t="n"/>
      <c r="C17" s="543" t="n"/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n"/>
      <c r="C21" s="522" t="n"/>
      <c r="D21" s="545" t="n"/>
      <c r="E21" s="521" t="n"/>
      <c r="F21" s="546" t="n"/>
      <c r="G21" s="547" t="n"/>
    </row>
    <row r="22" ht="24" customHeight="1">
      <c r="A22" s="58" t="n"/>
      <c r="B22" s="67" t="n"/>
      <c r="F22" s="46" t="n"/>
      <c r="G22" s="529" t="n"/>
    </row>
    <row r="23">
      <c r="C23" s="481" t="n"/>
      <c r="D23" s="481" t="n"/>
      <c r="E23" s="481" t="n"/>
      <c r="F23" s="46" t="n"/>
    </row>
    <row r="24">
      <c r="C24" s="481" t="n"/>
      <c r="D24" s="481" t="n"/>
      <c r="E24" s="481" t="n"/>
    </row>
    <row r="25">
      <c r="C25" s="481" t="n"/>
      <c r="D25" s="481" t="n"/>
      <c r="E25" s="481" t="n"/>
    </row>
    <row r="26"/>
    <row r="27"/>
    <row r="28"/>
    <row r="29"/>
    <row r="30"/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2026-06-14T13:18:11Z</dcterms:modified>
  <cp:lastModifiedBy>Amy Chen</cp:lastModifiedBy>
  <cp:lastPrinted>2026-04-10T05:42:50Z</cp:lastPrinted>
</cp:coreProperties>
</file>