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ctiveTab="15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VO4" sheetId="4" state="visible" r:id="rId4"/>
    <sheet xmlns:r="http://schemas.openxmlformats.org/officeDocument/2006/relationships" name="VO5" sheetId="5" state="visible" r:id="rId5"/>
    <sheet xmlns:r="http://schemas.openxmlformats.org/officeDocument/2006/relationships" name="VO6" sheetId="6" state="visible" r:id="rId6"/>
    <sheet xmlns:r="http://schemas.openxmlformats.org/officeDocument/2006/relationships" name="VO7" sheetId="7" state="visible" r:id="rId7"/>
    <sheet xmlns:r="http://schemas.openxmlformats.org/officeDocument/2006/relationships" name="VO8" sheetId="8" state="visible" r:id="rId8"/>
    <sheet xmlns:r="http://schemas.openxmlformats.org/officeDocument/2006/relationships" name="VO9" sheetId="9" state="visible" r:id="rId9"/>
    <sheet xmlns:r="http://schemas.openxmlformats.org/officeDocument/2006/relationships" name="VO10" sheetId="10" state="visible" r:id="rId10"/>
    <sheet xmlns:r="http://schemas.openxmlformats.org/officeDocument/2006/relationships" name="VO11" sheetId="11" state="visible" r:id="rId11"/>
    <sheet xmlns:r="http://schemas.openxmlformats.org/officeDocument/2006/relationships" name="VO12" sheetId="12" state="visible" r:id="rId12"/>
    <sheet xmlns:r="http://schemas.openxmlformats.org/officeDocument/2006/relationships" name="VO13" sheetId="13" state="visible" r:id="rId13"/>
    <sheet xmlns:r="http://schemas.openxmlformats.org/officeDocument/2006/relationships" name="VO14" sheetId="14" state="visible" r:id="rId14"/>
    <sheet xmlns:r="http://schemas.openxmlformats.org/officeDocument/2006/relationships" name="Register" sheetId="15" state="visible" r:id="rId15"/>
    <sheet xmlns:r="http://schemas.openxmlformats.org/officeDocument/2006/relationships" name="Internal VO Register" sheetId="16" state="visible" r:id="rId16"/>
    <sheet xmlns:r="http://schemas.openxmlformats.org/officeDocument/2006/relationships" name="VOXX" sheetId="17" state="visible" r:id="rId17"/>
  </sheets>
  <definedNames>
    <definedName name="_xlnm.Print_Area" localSheetId="14">'Register'!$A$1:$M$38</definedName>
    <definedName name="_xlnm.Print_Area" localSheetId="15">'Internal VO Register'!$A$1:$G$21</definedName>
    <definedName name="_xlnm.Print_Area" localSheetId="16">'VOXX'!$A$1:$G$34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VO1 - Client's Tree Removal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Remove of arborist, plant and mulch</t>
        </is>
      </c>
      <c r="C14" s="152" t="n">
        <v>1</v>
      </c>
      <c r="D14" s="477" t="inlineStr">
        <is>
          <t>item</t>
        </is>
      </c>
      <c r="E14" s="439" t="n">
        <v>1850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Dewatering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VO4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VO5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45971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VO6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45972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VO7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VO8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46087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VO9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VO10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VO11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VO12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VO13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VO14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2596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1300000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>VO1 - Client's Tree Removal</t>
        </is>
      </c>
      <c r="C13" s="503" t="inlineStr">
        <is>
          <t>2026-06-02T00:00:00</t>
        </is>
      </c>
      <c r="D13" s="504" t="n">
        <v>2238.5</v>
      </c>
      <c r="E13" s="505" t="n">
        <v>2238.5</v>
      </c>
      <c r="F13" s="506">
        <f>D13-G13-E13</f>
        <v/>
      </c>
      <c r="G13" s="507" t="n">
        <v>0</v>
      </c>
      <c r="H13" s="508" t="n"/>
      <c r="I13" s="508" t="n"/>
      <c r="J13" s="81" t="n"/>
      <c r="K13" s="77" t="inlineStr">
        <is>
          <t>Submitted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>VO2 - Dewatering</t>
        </is>
      </c>
      <c r="C14" s="503" t="inlineStr">
        <is>
          <t>2026-06-02T00:00:00</t>
        </is>
      </c>
      <c r="D14" s="504" t="n">
        <v>0</v>
      </c>
      <c r="E14" s="505" t="n">
        <v>0</v>
      </c>
      <c r="F14" s="506">
        <f>D14-G14-E14</f>
        <v/>
      </c>
      <c r="G14" s="507" t="n">
        <v>0</v>
      </c>
      <c r="H14" s="509" t="n"/>
      <c r="I14" s="509" t="n"/>
      <c r="J14" s="76" t="n"/>
      <c r="K14" s="77" t="inlineStr">
        <is>
          <t>Pending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>VO3</t>
        </is>
      </c>
      <c r="C15" s="503" t="inlineStr">
        <is>
          <t>2025-08-13T00:00:00</t>
        </is>
      </c>
      <c r="D15" s="504" t="n">
        <v>0</v>
      </c>
      <c r="E15" s="505" t="n">
        <v>0</v>
      </c>
      <c r="F15" s="506">
        <f>D15-G15-E15</f>
        <v/>
      </c>
      <c r="G15" s="507" t="n">
        <v>0</v>
      </c>
      <c r="H15" s="509" t="n"/>
      <c r="I15" s="509" t="n"/>
      <c r="J15" s="76" t="n"/>
      <c r="K15" s="77" t="inlineStr">
        <is>
          <t>Pending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 t="inlineStr">
        <is>
          <t>VO4</t>
        </is>
      </c>
      <c r="C16" s="503" t="inlineStr">
        <is>
          <t>2025-08-13T00:00:00</t>
        </is>
      </c>
      <c r="D16" s="504" t="n">
        <v>0</v>
      </c>
      <c r="E16" s="505" t="n">
        <v>0</v>
      </c>
      <c r="F16" s="506">
        <f>D16-G16-E16</f>
        <v/>
      </c>
      <c r="G16" s="507" t="n">
        <v>0</v>
      </c>
      <c r="H16" s="509" t="n"/>
      <c r="I16" s="509" t="n"/>
      <c r="J16" s="76" t="n"/>
      <c r="K16" s="77" t="inlineStr">
        <is>
          <t>Pending</t>
        </is>
      </c>
      <c r="L16" s="146" t="inlineStr">
        <is>
          <t>Head Contract VO</t>
        </is>
      </c>
      <c r="M16" s="66" t="n"/>
      <c r="N16" s="59" t="n"/>
    </row>
    <row r="17" ht="28.9" customHeight="1">
      <c r="A17" s="60" t="n">
        <v>5</v>
      </c>
      <c r="B17" s="334" t="inlineStr">
        <is>
          <t>VO5</t>
        </is>
      </c>
      <c r="C17" s="503" t="inlineStr">
        <is>
          <t>2025-08-13T00:00:00</t>
        </is>
      </c>
      <c r="D17" s="504" t="n">
        <v>0</v>
      </c>
      <c r="E17" s="505" t="n">
        <v>0</v>
      </c>
      <c r="F17" s="506">
        <f>D17-G17-E17</f>
        <v/>
      </c>
      <c r="G17" s="507" t="n">
        <v>0</v>
      </c>
      <c r="H17" s="509" t="n"/>
      <c r="I17" s="509" t="n"/>
      <c r="J17" s="76" t="n"/>
      <c r="K17" s="77" t="inlineStr">
        <is>
          <t>Pending</t>
        </is>
      </c>
      <c r="L17" s="146" t="inlineStr">
        <is>
          <t>Head Contract VO</t>
        </is>
      </c>
      <c r="M17" s="66" t="n"/>
      <c r="N17" s="59" t="n"/>
    </row>
    <row r="18" ht="28.9" customHeight="1">
      <c r="A18" s="60" t="n">
        <v>6</v>
      </c>
      <c r="B18" s="334" t="inlineStr">
        <is>
          <t>VO6</t>
        </is>
      </c>
      <c r="C18" s="510" t="inlineStr">
        <is>
          <t>2025-11-10T00:00:00</t>
        </is>
      </c>
      <c r="D18" s="504" t="n">
        <v>0</v>
      </c>
      <c r="E18" s="505" t="n">
        <v>0</v>
      </c>
      <c r="F18" s="506">
        <f>D18-G18-E18</f>
        <v/>
      </c>
      <c r="G18" s="507" t="n">
        <v>0</v>
      </c>
      <c r="H18" s="509" t="n"/>
      <c r="I18" s="509" t="n"/>
      <c r="J18" s="76" t="n"/>
      <c r="K18" s="77" t="inlineStr">
        <is>
          <t>Pending</t>
        </is>
      </c>
      <c r="L18" s="146" t="inlineStr">
        <is>
          <t>Head Contract VO</t>
        </is>
      </c>
      <c r="M18" s="66" t="n"/>
      <c r="N18" s="59" t="n"/>
    </row>
    <row r="19" ht="28.9" customHeight="1">
      <c r="A19" s="60" t="n">
        <v>7</v>
      </c>
      <c r="B19" s="334" t="inlineStr">
        <is>
          <t>VO7</t>
        </is>
      </c>
      <c r="C19" s="510" t="inlineStr">
        <is>
          <t>2025-11-11T00:00:00</t>
        </is>
      </c>
      <c r="D19" s="504" t="n">
        <v>0</v>
      </c>
      <c r="E19" s="505" t="n">
        <v>0</v>
      </c>
      <c r="F19" s="506">
        <f>D19-G19-E19</f>
        <v/>
      </c>
      <c r="G19" s="507" t="n">
        <v>0</v>
      </c>
      <c r="H19" s="509" t="n"/>
      <c r="I19" s="509" t="n"/>
      <c r="J19" s="76" t="n"/>
      <c r="K19" s="77" t="inlineStr">
        <is>
          <t>Pending</t>
        </is>
      </c>
      <c r="L19" s="146" t="inlineStr">
        <is>
          <t>Head Contract VO</t>
        </is>
      </c>
      <c r="M19" s="66" t="n"/>
      <c r="N19" s="59" t="n"/>
    </row>
    <row r="20" ht="28.9" customHeight="1">
      <c r="A20" s="60" t="n">
        <v>8</v>
      </c>
      <c r="B20" s="334" t="inlineStr">
        <is>
          <t>VO8</t>
        </is>
      </c>
      <c r="C20" s="510" t="inlineStr">
        <is>
          <t>2026-06-02T00:00:00</t>
        </is>
      </c>
      <c r="D20" s="504" t="n">
        <v>0</v>
      </c>
      <c r="E20" s="505" t="n">
        <v>0</v>
      </c>
      <c r="F20" s="506">
        <f>D20-G20-E20</f>
        <v/>
      </c>
      <c r="G20" s="507" t="n">
        <v>0</v>
      </c>
      <c r="H20" s="509" t="n"/>
      <c r="I20" s="509" t="n"/>
      <c r="J20" s="76" t="n"/>
      <c r="K20" s="77" t="inlineStr">
        <is>
          <t>Pending</t>
        </is>
      </c>
      <c r="L20" s="146" t="inlineStr">
        <is>
          <t>Head Contract VO</t>
        </is>
      </c>
      <c r="M20" s="66" t="n"/>
      <c r="N20" s="59" t="n"/>
    </row>
    <row r="21" ht="28.9" customHeight="1">
      <c r="A21" s="60" t="n">
        <v>9</v>
      </c>
      <c r="B21" s="334" t="inlineStr">
        <is>
          <t>VO9</t>
        </is>
      </c>
      <c r="C21" s="510" t="inlineStr">
        <is>
          <t>2026-03-06T00:00:00</t>
        </is>
      </c>
      <c r="D21" s="504" t="n">
        <v>0</v>
      </c>
      <c r="E21" s="505" t="n">
        <v>0</v>
      </c>
      <c r="F21" s="506">
        <f>D21-G21-E21</f>
        <v/>
      </c>
      <c r="G21" s="507" t="n">
        <v>0</v>
      </c>
      <c r="H21" s="509" t="n"/>
      <c r="I21" s="509" t="n"/>
      <c r="J21" s="76" t="n"/>
      <c r="K21" s="77" t="inlineStr">
        <is>
          <t>Pending</t>
        </is>
      </c>
      <c r="L21" s="146" t="inlineStr">
        <is>
          <t>Head Contract VO</t>
        </is>
      </c>
      <c r="M21" s="66" t="n"/>
      <c r="N21" s="59" t="n"/>
    </row>
    <row r="22" ht="28.9" customHeight="1">
      <c r="A22" s="60" t="n">
        <v>10</v>
      </c>
      <c r="B22" s="334" t="inlineStr">
        <is>
          <t>VO10</t>
        </is>
      </c>
      <c r="C22" s="510" t="inlineStr">
        <is>
          <t>2026-06-02T00:00:00</t>
        </is>
      </c>
      <c r="D22" s="504" t="n">
        <v>0</v>
      </c>
      <c r="E22" s="505" t="n">
        <v>0</v>
      </c>
      <c r="F22" s="506">
        <f>D22-G22-E22</f>
        <v/>
      </c>
      <c r="G22" s="507" t="n">
        <v>0</v>
      </c>
      <c r="H22" s="509" t="n"/>
      <c r="I22" s="509" t="n"/>
      <c r="J22" s="76" t="n"/>
      <c r="K22" s="77" t="inlineStr">
        <is>
          <t>Pending</t>
        </is>
      </c>
      <c r="L22" s="146" t="inlineStr">
        <is>
          <t>Head Contract VO</t>
        </is>
      </c>
      <c r="M22" s="66" t="n"/>
      <c r="N22" s="59" t="n"/>
    </row>
    <row r="23" ht="28.9" customHeight="1">
      <c r="A23" s="60" t="n">
        <v>11</v>
      </c>
      <c r="B23" s="334" t="inlineStr">
        <is>
          <t>VO11</t>
        </is>
      </c>
      <c r="C23" s="510" t="inlineStr">
        <is>
          <t>2026-06-02T00:00:00</t>
        </is>
      </c>
      <c r="D23" s="504" t="n">
        <v>0</v>
      </c>
      <c r="E23" s="505" t="n">
        <v>0</v>
      </c>
      <c r="F23" s="506">
        <f>D23-G23-E23</f>
        <v/>
      </c>
      <c r="G23" s="507" t="n">
        <v>0</v>
      </c>
      <c r="H23" s="509" t="n"/>
      <c r="I23" s="509" t="n"/>
      <c r="J23" s="76" t="n"/>
      <c r="K23" s="77" t="inlineStr">
        <is>
          <t>Pending</t>
        </is>
      </c>
      <c r="L23" s="146" t="inlineStr">
        <is>
          <t>Head Contract VO</t>
        </is>
      </c>
      <c r="M23" s="66" t="n"/>
      <c r="N23" s="511" t="n"/>
    </row>
    <row r="24" ht="28.9" customHeight="1">
      <c r="A24" s="60" t="n">
        <v>12</v>
      </c>
      <c r="B24" s="333" t="inlineStr">
        <is>
          <t>VO12</t>
        </is>
      </c>
      <c r="C24" s="510" t="inlineStr">
        <is>
          <t>2026-06-02T00:00:00</t>
        </is>
      </c>
      <c r="D24" s="512" t="n">
        <v>0</v>
      </c>
      <c r="E24" s="505" t="n">
        <v>0</v>
      </c>
      <c r="F24" s="506">
        <f>D24-G24-E24</f>
        <v/>
      </c>
      <c r="G24" s="507" t="n">
        <v>0</v>
      </c>
      <c r="H24" s="509" t="n"/>
      <c r="I24" s="509" t="n"/>
      <c r="J24" s="76" t="n"/>
      <c r="K24" s="77" t="inlineStr">
        <is>
          <t>Pending</t>
        </is>
      </c>
      <c r="L24" s="146" t="inlineStr">
        <is>
          <t>Head Contract VO</t>
        </is>
      </c>
      <c r="M24" s="66" t="n"/>
      <c r="N24" s="511" t="n"/>
    </row>
    <row r="25" ht="28.9" customHeight="1">
      <c r="A25" s="60" t="n">
        <v>13</v>
      </c>
      <c r="B25" s="333" t="inlineStr">
        <is>
          <t>VO13</t>
        </is>
      </c>
      <c r="C25" s="510" t="inlineStr">
        <is>
          <t>2026-06-02T00:00:00</t>
        </is>
      </c>
      <c r="D25" s="512" t="n">
        <v>0</v>
      </c>
      <c r="E25" s="505" t="n">
        <v>0</v>
      </c>
      <c r="F25" s="506">
        <f>D25-G25-E25</f>
        <v/>
      </c>
      <c r="G25" s="507" t="n">
        <v>0</v>
      </c>
      <c r="H25" s="509" t="n"/>
      <c r="I25" s="509" t="n"/>
      <c r="J25" s="76" t="n"/>
      <c r="K25" s="77" t="inlineStr">
        <is>
          <t>Pending</t>
        </is>
      </c>
      <c r="L25" s="146" t="inlineStr">
        <is>
          <t>Head Contract VO</t>
        </is>
      </c>
      <c r="M25" s="66" t="n"/>
      <c r="N25" s="511" t="n"/>
    </row>
    <row r="26" ht="28.9" customHeight="1">
      <c r="A26" s="60" t="n">
        <v>14</v>
      </c>
      <c r="B26" s="333" t="inlineStr">
        <is>
          <t>VO14</t>
        </is>
      </c>
      <c r="C26" s="510" t="inlineStr">
        <is>
          <t>2026-06-02T00:00:00</t>
        </is>
      </c>
      <c r="D26" s="512" t="n">
        <v>0</v>
      </c>
      <c r="E26" s="505" t="n">
        <v>0</v>
      </c>
      <c r="F26" s="506">
        <f>D26-G26-E26</f>
        <v/>
      </c>
      <c r="G26" s="507" t="n">
        <v>0</v>
      </c>
      <c r="H26" s="509" t="n"/>
      <c r="I26" s="509" t="n"/>
      <c r="J26" s="76" t="n"/>
      <c r="K26" s="77" t="inlineStr">
        <is>
          <t>Pending</t>
        </is>
      </c>
      <c r="L26" s="142" t="inlineStr">
        <is>
          <t>Head Contract VO</t>
        </is>
      </c>
      <c r="M26" s="66" t="n"/>
      <c r="N26" s="511" t="n"/>
    </row>
    <row r="27" ht="28.9" customHeight="1">
      <c r="A27" s="60" t="n">
        <v>15</v>
      </c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>
        <v>16</v>
      </c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>
        <v>17</v>
      </c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>
        <v>18</v>
      </c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>
        <v>19</v>
      </c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>
        <v>20</v>
      </c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>
        <v>21</v>
      </c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>
        <v>22</v>
      </c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>
        <v>23</v>
      </c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2238.5</v>
      </c>
      <c r="E38" s="519" t="n">
        <v>2238.5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>VO1 - Client's Tree Removal</t>
        </is>
      </c>
      <c r="C4" s="537" t="n">
        <v>2238.5</v>
      </c>
      <c r="D4" s="538" t="n">
        <v>0</v>
      </c>
      <c r="E4" s="538" t="n">
        <v>0</v>
      </c>
      <c r="F4" s="191" t="n">
        <v>2238.5</v>
      </c>
      <c r="G4" s="192" t="n"/>
      <c r="J4" s="192" t="inlineStr">
        <is>
          <t>Head Contract VO</t>
        </is>
      </c>
    </row>
    <row r="5" ht="28.9" customHeight="1">
      <c r="A5" s="60" t="n">
        <v>2</v>
      </c>
      <c r="B5" s="330" t="inlineStr">
        <is>
          <t>VO2 - Dewatering</t>
        </is>
      </c>
      <c r="C5" s="539" t="n">
        <v>0</v>
      </c>
      <c r="D5" s="516" t="n">
        <v>0</v>
      </c>
      <c r="E5" s="507" t="n">
        <v>71159</v>
      </c>
      <c r="F5" s="214" t="n">
        <v>-71159</v>
      </c>
      <c r="G5" s="160" t="n"/>
      <c r="J5" s="160" t="inlineStr">
        <is>
          <t>Client Direct VO</t>
        </is>
      </c>
    </row>
    <row r="6" ht="28.9" customHeight="1">
      <c r="A6" s="60" t="n">
        <v>3</v>
      </c>
      <c r="B6" s="330" t="inlineStr">
        <is>
          <t>VO3</t>
        </is>
      </c>
      <c r="C6" s="539" t="n">
        <v>0</v>
      </c>
      <c r="D6" s="540" t="n">
        <v>0</v>
      </c>
      <c r="E6" s="516" t="n">
        <v>25795</v>
      </c>
      <c r="F6" s="541" t="n">
        <v>-25795</v>
      </c>
      <c r="G6" s="184" t="n"/>
    </row>
    <row r="7" ht="28.9" customHeight="1">
      <c r="A7" s="60" t="n">
        <v>4</v>
      </c>
      <c r="B7" s="331" t="inlineStr">
        <is>
          <t>VO4</t>
        </is>
      </c>
      <c r="C7" s="539" t="n">
        <v>0</v>
      </c>
      <c r="D7" s="516" t="n">
        <v>0</v>
      </c>
      <c r="E7" s="540" t="n">
        <v>76780</v>
      </c>
      <c r="F7" s="214" t="n">
        <v>-76780</v>
      </c>
      <c r="G7" s="160" t="n"/>
    </row>
    <row r="8" ht="28.9" customHeight="1">
      <c r="A8" s="60" t="n">
        <v>5</v>
      </c>
      <c r="B8" s="331" t="inlineStr">
        <is>
          <t>VO5</t>
        </is>
      </c>
      <c r="C8" s="539" t="n">
        <v>0</v>
      </c>
      <c r="D8" s="540" t="n">
        <v>0</v>
      </c>
      <c r="E8" s="516" t="n">
        <v>330000</v>
      </c>
      <c r="F8" s="542" t="n">
        <v>-330000</v>
      </c>
      <c r="G8" s="184" t="n"/>
    </row>
    <row r="9" ht="28.9" customHeight="1">
      <c r="A9" s="60" t="n">
        <v>6</v>
      </c>
      <c r="B9" s="331" t="inlineStr">
        <is>
          <t>VO6</t>
        </is>
      </c>
      <c r="C9" s="539" t="n">
        <v>0</v>
      </c>
      <c r="D9" s="516" t="n">
        <v>0</v>
      </c>
      <c r="E9" s="540" t="n">
        <v>18249</v>
      </c>
      <c r="F9" s="214" t="n">
        <v>-18249</v>
      </c>
      <c r="G9" s="160" t="n"/>
    </row>
    <row r="10" ht="28.9" customHeight="1">
      <c r="A10" s="60" t="n">
        <v>7</v>
      </c>
      <c r="B10" s="331" t="inlineStr">
        <is>
          <t>VO7</t>
        </is>
      </c>
      <c r="C10" s="539" t="n">
        <v>0</v>
      </c>
      <c r="D10" s="516" t="n">
        <v>0</v>
      </c>
      <c r="E10" s="540" t="n">
        <v>47058</v>
      </c>
      <c r="F10" s="214" t="n">
        <v>-47058</v>
      </c>
      <c r="G10" s="160" t="n"/>
    </row>
    <row r="11" ht="28.9" customHeight="1">
      <c r="A11" s="60" t="n">
        <v>8</v>
      </c>
      <c r="B11" s="331" t="inlineStr">
        <is>
          <t>VO8</t>
        </is>
      </c>
      <c r="C11" s="539" t="n">
        <v>0</v>
      </c>
      <c r="D11" s="516" t="n">
        <v>0</v>
      </c>
      <c r="E11" s="540" t="n">
        <v>38392</v>
      </c>
      <c r="F11" s="541" t="n">
        <v>-38392</v>
      </c>
      <c r="G11" s="160" t="n"/>
    </row>
    <row r="12" ht="28.9" customHeight="1">
      <c r="A12" s="60" t="n">
        <v>9</v>
      </c>
      <c r="B12" s="331" t="inlineStr">
        <is>
          <t>VO9</t>
        </is>
      </c>
      <c r="C12" s="539" t="n">
        <v>0</v>
      </c>
      <c r="D12" s="516" t="n">
        <v>0</v>
      </c>
      <c r="E12" s="540" t="n">
        <v>6336</v>
      </c>
      <c r="F12" s="214" t="n">
        <v>-6336</v>
      </c>
      <c r="G12" s="160" t="n"/>
    </row>
    <row r="13" ht="28.9" customHeight="1">
      <c r="A13" s="60" t="n">
        <v>10</v>
      </c>
      <c r="B13" s="331" t="inlineStr">
        <is>
          <t>VO10</t>
        </is>
      </c>
      <c r="C13" s="539" t="n">
        <v>0</v>
      </c>
      <c r="D13" s="516" t="n">
        <v>0</v>
      </c>
      <c r="E13" s="540" t="n">
        <v>0</v>
      </c>
      <c r="F13" s="214" t="n">
        <v>0</v>
      </c>
      <c r="G13" s="160" t="n"/>
    </row>
    <row r="14" ht="28.9" customHeight="1">
      <c r="A14" s="60" t="n">
        <v>11</v>
      </c>
      <c r="B14" s="332" t="inlineStr">
        <is>
          <t>VO11</t>
        </is>
      </c>
      <c r="C14" s="543" t="n">
        <v>0</v>
      </c>
      <c r="D14" s="516" t="n">
        <v>0</v>
      </c>
      <c r="E14" s="544" t="n">
        <v>0</v>
      </c>
      <c r="F14" s="217" t="n">
        <v>0</v>
      </c>
      <c r="G14" s="184" t="n"/>
    </row>
    <row r="15" ht="28.9" customHeight="1">
      <c r="A15" s="60" t="n">
        <v>12</v>
      </c>
      <c r="B15" s="332" t="inlineStr">
        <is>
          <t>VO12</t>
        </is>
      </c>
      <c r="C15" s="543" t="n">
        <v>0</v>
      </c>
      <c r="D15" s="516" t="n">
        <v>0</v>
      </c>
      <c r="E15" s="544" t="n">
        <v>0</v>
      </c>
      <c r="F15" s="217" t="n">
        <v>0</v>
      </c>
      <c r="G15" s="160" t="n"/>
    </row>
    <row r="16" ht="28.9" customHeight="1">
      <c r="A16" s="60" t="n">
        <v>13</v>
      </c>
      <c r="B16" s="332" t="inlineStr">
        <is>
          <t>VO13</t>
        </is>
      </c>
      <c r="C16" s="543" t="n">
        <v>0</v>
      </c>
      <c r="D16" s="516" t="n">
        <v>0</v>
      </c>
      <c r="E16" s="544" t="n">
        <v>0</v>
      </c>
      <c r="F16" s="217" t="n">
        <v>0</v>
      </c>
      <c r="G16" s="184" t="n"/>
    </row>
    <row r="17" ht="28.9" customHeight="1">
      <c r="A17" s="60" t="n">
        <v>14</v>
      </c>
      <c r="B17" s="332" t="inlineStr">
        <is>
          <t>VO14</t>
        </is>
      </c>
      <c r="C17" s="543" t="n">
        <v>0</v>
      </c>
      <c r="D17" s="516" t="n">
        <v>0</v>
      </c>
      <c r="E17" s="544" t="n">
        <v>0</v>
      </c>
      <c r="F17" s="217" t="n">
        <v>0</v>
      </c>
      <c r="G17" s="160" t="n"/>
    </row>
    <row r="18" ht="28.9" customHeight="1">
      <c r="A18" s="60" t="n"/>
      <c r="B18" s="61" t="inlineStr">
        <is>
          <t>TOTALS</t>
        </is>
      </c>
      <c r="C18" s="543">
        <f>SUM(C4:C17)</f>
        <v/>
      </c>
      <c r="D18" s="516">
        <f>SUM(D4:D17)</f>
        <v/>
      </c>
      <c r="E18" s="544">
        <f>SUM(E4:E17)</f>
        <v/>
      </c>
      <c r="F18" s="217">
        <f>SUM(F4:F17)</f>
        <v/>
      </c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inlineStr">
        <is>
          <t>TOTALS</t>
        </is>
      </c>
      <c r="C21" s="522">
        <f>SUM(C4:C20)</f>
        <v/>
      </c>
      <c r="D21" s="545">
        <f>SUM(D4:D20)</f>
        <v/>
      </c>
      <c r="E21" s="521">
        <f>SUM(E4:E20)</f>
        <v/>
      </c>
      <c r="F21" s="546">
        <f>SUM(F4:F20)</f>
        <v/>
      </c>
      <c r="G21" s="547">
        <f>D21+E21</f>
        <v/>
      </c>
    </row>
    <row r="22" ht="24" customHeight="1">
      <c r="A22" s="58" t="n"/>
      <c r="B22" s="67" t="n"/>
      <c r="F22" s="46" t="n"/>
      <c r="G22" s="529" t="n"/>
    </row>
    <row r="23">
      <c r="C23" s="481">
        <f>Register!G3</f>
        <v/>
      </c>
      <c r="D23" s="481">
        <f>E21</f>
        <v/>
      </c>
      <c r="E23" s="481" t="n">
        <v>28198978</v>
      </c>
      <c r="F23" s="46" t="n"/>
    </row>
    <row r="24">
      <c r="C24" s="481">
        <f>C21</f>
        <v/>
      </c>
      <c r="D24" s="481">
        <f>D21</f>
        <v/>
      </c>
      <c r="E24" s="481">
        <f>E21</f>
        <v/>
      </c>
    </row>
    <row r="25">
      <c r="C25" s="481">
        <f>SUM(C23:C24)</f>
        <v/>
      </c>
      <c r="D25" s="481">
        <f>SUM(D23:D24)</f>
        <v/>
      </c>
      <c r="E25" s="481">
        <f>SUM(E23:E24)</f>
        <v/>
      </c>
    </row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29" sqref="B29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n"/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>
      <c r="A8" s="89" t="inlineStr">
        <is>
          <t>SITE ADDRESS:</t>
        </is>
      </c>
      <c r="B8" s="90" t="n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n"/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>
        <v>1</v>
      </c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>
        <v>2</v>
      </c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>
        <v>3</v>
      </c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2026-06-14T11:53:18Z</dcterms:modified>
  <cp:lastModifiedBy>Amy Chen</cp:lastModifiedBy>
  <cp:lastPrinted>2026-04-10T05:42:50Z</cp:lastPrinted>
</cp:coreProperties>
</file>