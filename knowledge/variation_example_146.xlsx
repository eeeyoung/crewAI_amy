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rewAI\crewAI_amy\knowledge\"/>
    </mc:Choice>
  </mc:AlternateContent>
  <xr:revisionPtr revIDLastSave="0" documentId="13_ncr:1_{A0C91707-B03C-45F2-9C3E-8810B852ADE8}" xr6:coauthVersionLast="47" xr6:coauthVersionMax="47" xr10:uidLastSave="{00000000-0000-0000-0000-000000000000}"/>
  <bookViews>
    <workbookView xWindow="610" yWindow="1580" windowWidth="29960" windowHeight="18400" tabRatio="920" activeTab="17" xr2:uid="{00000000-000D-0000-FFFF-FFFF00000000}"/>
  </bookViews>
  <sheets>
    <sheet name="VO1" sheetId="55" r:id="rId1"/>
    <sheet name="VO2" sheetId="67" r:id="rId2"/>
    <sheet name="VO3" sheetId="68" r:id="rId3"/>
    <sheet name="VO4" sheetId="71" r:id="rId4"/>
    <sheet name="VO5" sheetId="80" r:id="rId5"/>
    <sheet name="VO6" sheetId="83" r:id="rId6"/>
    <sheet name="VO7" sheetId="81" r:id="rId7"/>
    <sheet name="VO8" sheetId="84" r:id="rId8"/>
    <sheet name="VO9" sheetId="82" r:id="rId9"/>
    <sheet name="VO10" sheetId="79" r:id="rId10"/>
    <sheet name="VO11" sheetId="85" r:id="rId11"/>
    <sheet name="VO12" sheetId="86" r:id="rId12"/>
    <sheet name="VO13" sheetId="87" r:id="rId13"/>
    <sheet name="VO14" sheetId="88" r:id="rId14"/>
    <sheet name="VO15" sheetId="101" r:id="rId15"/>
    <sheet name="VO16" sheetId="102" r:id="rId16"/>
    <sheet name="VOXX" sheetId="100" r:id="rId17"/>
    <sheet name="Register" sheetId="28" r:id="rId18"/>
    <sheet name="Internal VO Register" sheetId="51" r:id="rId19"/>
  </sheets>
  <definedNames>
    <definedName name="_xlnm.Print_Area" localSheetId="18">'Internal VO Register'!$A$1:$G$21</definedName>
    <definedName name="_xlnm.Print_Area" localSheetId="17">Register!$A$1:$M$38</definedName>
    <definedName name="_xlnm.Print_Area" localSheetId="0">'VO1'!$A$1:$G$37</definedName>
    <definedName name="_xlnm.Print_Area" localSheetId="9">'VO10'!$A$1:$G$55</definedName>
    <definedName name="_xlnm.Print_Area" localSheetId="10">'VO11'!$A$1:$G$55</definedName>
    <definedName name="_xlnm.Print_Area" localSheetId="11">'VO12'!$A$1:$G$34</definedName>
    <definedName name="_xlnm.Print_Area" localSheetId="12">'VO13'!$A$1:$G$34</definedName>
    <definedName name="_xlnm.Print_Area" localSheetId="13">'VO14'!$A$1:$G$73</definedName>
    <definedName name="_xlnm.Print_Area" localSheetId="14">'VO15'!$A$1:$G$33</definedName>
    <definedName name="_xlnm.Print_Area" localSheetId="15">'VO16'!$A$1:$G$33</definedName>
    <definedName name="_xlnm.Print_Area" localSheetId="1">'VO2'!$A$1:$G$32</definedName>
    <definedName name="_xlnm.Print_Area" localSheetId="2">'VO3'!$A$1:$G$32</definedName>
    <definedName name="_xlnm.Print_Area" localSheetId="3">'VO4'!$A$1:$G$32</definedName>
    <definedName name="_xlnm.Print_Area" localSheetId="4">'VO5'!$A$1:$G$31</definedName>
    <definedName name="_xlnm.Print_Area" localSheetId="5">'VO6'!$A$1:$G$35</definedName>
    <definedName name="_xlnm.Print_Area" localSheetId="6">'VO7'!$A$1:$G$35</definedName>
    <definedName name="_xlnm.Print_Area" localSheetId="7">'VO8'!$A$1:$G$32</definedName>
    <definedName name="_xlnm.Print_Area" localSheetId="8">'VO9'!$A$1:$G$31</definedName>
    <definedName name="_xlnm.Print_Area" localSheetId="16">VOXX!$A$1:$G$33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8" l="1"/>
  <c r="E28" i="28" s="1"/>
  <c r="F28" i="28" s="1"/>
  <c r="D27" i="28"/>
  <c r="B28" i="28"/>
  <c r="B27" i="28"/>
  <c r="G19" i="102"/>
  <c r="F14" i="102"/>
  <c r="F19" i="102" s="1"/>
  <c r="F20" i="102" s="1"/>
  <c r="B9" i="102"/>
  <c r="B8" i="102"/>
  <c r="G6" i="102"/>
  <c r="C28" i="28" s="1"/>
  <c r="B6" i="102"/>
  <c r="G19" i="101"/>
  <c r="F14" i="101"/>
  <c r="F19" i="101" s="1"/>
  <c r="F20" i="101" s="1"/>
  <c r="B9" i="101"/>
  <c r="B8" i="101"/>
  <c r="G6" i="101"/>
  <c r="C27" i="28" s="1"/>
  <c r="B6" i="101"/>
  <c r="F14" i="100"/>
  <c r="B9" i="100"/>
  <c r="B8" i="100"/>
  <c r="B6" i="100"/>
  <c r="F15" i="88"/>
  <c r="F16" i="88"/>
  <c r="F17" i="88"/>
  <c r="F18" i="88"/>
  <c r="F19" i="88"/>
  <c r="F20" i="88"/>
  <c r="F21" i="88"/>
  <c r="F22" i="88"/>
  <c r="F23" i="88"/>
  <c r="F24" i="88"/>
  <c r="F25" i="88"/>
  <c r="F26" i="88"/>
  <c r="F27" i="88"/>
  <c r="F28" i="88"/>
  <c r="F29" i="88"/>
  <c r="F30" i="88"/>
  <c r="F31" i="88"/>
  <c r="F32" i="88"/>
  <c r="F33" i="88"/>
  <c r="F34" i="88"/>
  <c r="F35" i="88"/>
  <c r="F36" i="88"/>
  <c r="F37" i="88"/>
  <c r="F38" i="88"/>
  <c r="F39" i="88"/>
  <c r="F40" i="88"/>
  <c r="F41" i="88"/>
  <c r="F42" i="88"/>
  <c r="F43" i="88"/>
  <c r="F44" i="88"/>
  <c r="F45" i="88"/>
  <c r="F46" i="88"/>
  <c r="F47" i="88"/>
  <c r="F48" i="88"/>
  <c r="F49" i="88"/>
  <c r="F50" i="88"/>
  <c r="F51" i="88"/>
  <c r="F52" i="88"/>
  <c r="F53" i="88"/>
  <c r="F54" i="88"/>
  <c r="F55" i="88"/>
  <c r="F56" i="88"/>
  <c r="F57" i="88"/>
  <c r="F14" i="88"/>
  <c r="B26" i="28"/>
  <c r="E27" i="28" l="1"/>
  <c r="F27" i="28" s="1"/>
  <c r="F21" i="102"/>
  <c r="F22" i="102" s="1"/>
  <c r="F21" i="101"/>
  <c r="F22" i="101" s="1"/>
  <c r="G6" i="88"/>
  <c r="C26" i="28" s="1"/>
  <c r="G19" i="100"/>
  <c r="F19" i="100"/>
  <c r="G6" i="100"/>
  <c r="G59" i="88"/>
  <c r="F59" i="88"/>
  <c r="D25" i="28"/>
  <c r="D24" i="28"/>
  <c r="E24" i="28" s="1"/>
  <c r="F24" i="28" s="1"/>
  <c r="D21" i="28"/>
  <c r="F21" i="28" s="1"/>
  <c r="D23" i="28"/>
  <c r="E23" i="28" s="1"/>
  <c r="F23" i="28" s="1"/>
  <c r="B23" i="28"/>
  <c r="B22" i="28"/>
  <c r="B25" i="28"/>
  <c r="B24" i="28"/>
  <c r="B20" i="28"/>
  <c r="B21" i="28"/>
  <c r="B19" i="28"/>
  <c r="G6" i="84"/>
  <c r="G20" i="87"/>
  <c r="F20" i="87"/>
  <c r="B9" i="87"/>
  <c r="B8" i="87"/>
  <c r="G6" i="87"/>
  <c r="B6" i="87"/>
  <c r="F20" i="86"/>
  <c r="G20" i="86"/>
  <c r="F21" i="86" s="1"/>
  <c r="F22" i="86" s="1"/>
  <c r="F14" i="86"/>
  <c r="B9" i="86"/>
  <c r="B8" i="86"/>
  <c r="G6" i="86"/>
  <c r="B6" i="86"/>
  <c r="F15" i="85"/>
  <c r="G41" i="85"/>
  <c r="F14" i="85"/>
  <c r="F41" i="85" s="1"/>
  <c r="B9" i="85"/>
  <c r="B8" i="85"/>
  <c r="G6" i="85"/>
  <c r="B6" i="85"/>
  <c r="B18" i="28"/>
  <c r="E16" i="84"/>
  <c r="G16" i="84" s="1"/>
  <c r="G18" i="84" s="1"/>
  <c r="F15" i="84"/>
  <c r="G21" i="83"/>
  <c r="F15" i="83"/>
  <c r="F21" i="83" s="1"/>
  <c r="F22" i="83" s="1"/>
  <c r="F14" i="71"/>
  <c r="G17" i="82"/>
  <c r="F14" i="82"/>
  <c r="F17" i="82" s="1"/>
  <c r="F18" i="82" s="1"/>
  <c r="G21" i="81"/>
  <c r="F23" i="55"/>
  <c r="B17" i="28"/>
  <c r="F14" i="80"/>
  <c r="G17" i="80"/>
  <c r="F17" i="80"/>
  <c r="F18" i="80" s="1"/>
  <c r="E25" i="28" l="1"/>
  <c r="F25" i="28" s="1"/>
  <c r="F23" i="102"/>
  <c r="F24" i="102" s="1"/>
  <c r="F23" i="101"/>
  <c r="F24" i="101" s="1"/>
  <c r="F20" i="100"/>
  <c r="F60" i="88"/>
  <c r="F21" i="100"/>
  <c r="F22" i="100" s="1"/>
  <c r="F61" i="88"/>
  <c r="F62" i="88" s="1"/>
  <c r="D26" i="28" s="1"/>
  <c r="F21" i="87"/>
  <c r="F23" i="86"/>
  <c r="F42" i="85"/>
  <c r="F43" i="85" s="1"/>
  <c r="F44" i="85" s="1"/>
  <c r="F18" i="84"/>
  <c r="F19" i="84" s="1"/>
  <c r="F20" i="84" s="1"/>
  <c r="F21" i="84" s="1"/>
  <c r="D20" i="28" s="1"/>
  <c r="F23" i="83"/>
  <c r="F24" i="83" s="1"/>
  <c r="D18" i="28" s="1"/>
  <c r="F21" i="81"/>
  <c r="F22" i="81" s="1"/>
  <c r="F23" i="81" s="1"/>
  <c r="F24" i="81" s="1"/>
  <c r="F19" i="82"/>
  <c r="F20" i="82" s="1"/>
  <c r="F19" i="80"/>
  <c r="F20" i="80" s="1"/>
  <c r="D17" i="28" s="1"/>
  <c r="E26" i="28" l="1"/>
  <c r="F26" i="28" s="1"/>
  <c r="F23" i="100"/>
  <c r="F24" i="100" s="1"/>
  <c r="F63" i="88"/>
  <c r="F64" i="88" s="1"/>
  <c r="E18" i="28"/>
  <c r="F18" i="28" s="1"/>
  <c r="F22" i="87"/>
  <c r="F23" i="87" s="1"/>
  <c r="F24" i="87" s="1"/>
  <c r="F25" i="87" s="1"/>
  <c r="F24" i="86"/>
  <c r="F25" i="86" s="1"/>
  <c r="F45" i="85"/>
  <c r="F46" i="85" s="1"/>
  <c r="F22" i="84"/>
  <c r="F23" i="84" s="1"/>
  <c r="F25" i="83"/>
  <c r="F26" i="83" s="1"/>
  <c r="F21" i="82"/>
  <c r="F22" i="82" s="1"/>
  <c r="F25" i="81"/>
  <c r="F26" i="81" s="1"/>
  <c r="F21" i="80"/>
  <c r="F22" i="80" s="1"/>
  <c r="B16" i="28" l="1"/>
  <c r="B15" i="28"/>
  <c r="F15" i="68"/>
  <c r="F19" i="55"/>
  <c r="F15" i="67"/>
  <c r="F16" i="67"/>
  <c r="B14" i="28"/>
  <c r="B13" i="28"/>
  <c r="G6" i="79" l="1"/>
  <c r="B8" i="79"/>
  <c r="B9" i="79"/>
  <c r="B6" i="79"/>
  <c r="G16" i="79"/>
  <c r="F14" i="79"/>
  <c r="L42" i="28"/>
  <c r="F16" i="79" l="1"/>
  <c r="F15" i="79" l="1"/>
  <c r="C21" i="51" l="1"/>
  <c r="D21" i="51"/>
  <c r="G41" i="79" l="1"/>
  <c r="F41" i="79" l="1"/>
  <c r="F42" i="79" s="1"/>
  <c r="F43" i="79" l="1"/>
  <c r="F44" i="79" s="1"/>
  <c r="F45" i="79" s="1"/>
  <c r="F46" i="79" s="1"/>
  <c r="G18" i="71" l="1"/>
  <c r="F15" i="71"/>
  <c r="F18" i="71" s="1"/>
  <c r="G18" i="68"/>
  <c r="F14" i="68"/>
  <c r="F18" i="68" s="1"/>
  <c r="F19" i="68" s="1"/>
  <c r="F19" i="71" l="1"/>
  <c r="F20" i="71" s="1"/>
  <c r="F21" i="71" s="1"/>
  <c r="F20" i="68"/>
  <c r="F21" i="68" s="1"/>
  <c r="D15" i="28" s="1"/>
  <c r="G18" i="67"/>
  <c r="D16" i="28" l="1"/>
  <c r="F22" i="71"/>
  <c r="F23" i="71" s="1"/>
  <c r="F22" i="68"/>
  <c r="F23" i="68" s="1"/>
  <c r="F18" i="67"/>
  <c r="F19" i="67" s="1"/>
  <c r="F20" i="67" s="1"/>
  <c r="F21" i="67" s="1"/>
  <c r="D14" i="28" s="1"/>
  <c r="F22" i="67" l="1"/>
  <c r="F23" i="67" s="1"/>
  <c r="G23" i="55" l="1"/>
  <c r="F24" i="55" l="1"/>
  <c r="F25" i="55" s="1"/>
  <c r="F26" i="55" s="1"/>
  <c r="F27" i="55" l="1"/>
  <c r="F28" i="55" s="1"/>
  <c r="D13" i="28"/>
  <c r="E21" i="51"/>
  <c r="D38" i="28" l="1"/>
  <c r="G21" i="51"/>
  <c r="F21" i="51"/>
  <c r="G1" i="51" l="1"/>
  <c r="I38" i="28" l="1"/>
  <c r="H38" i="28"/>
  <c r="M1" i="28"/>
  <c r="E17" i="28" l="1"/>
  <c r="F17" i="28" s="1"/>
  <c r="G5" i="28"/>
  <c r="E15" i="28"/>
  <c r="F15" i="28" s="1"/>
  <c r="E16" i="28"/>
  <c r="F16" i="28" s="1"/>
  <c r="E14" i="28"/>
  <c r="F14" i="28" s="1"/>
  <c r="E13" i="28"/>
  <c r="F13" i="28" s="1"/>
  <c r="L38" i="28"/>
  <c r="L39" i="28" s="1"/>
  <c r="E19" i="28" l="1"/>
  <c r="F19" i="28" s="1"/>
  <c r="E20" i="28" l="1"/>
  <c r="F20" i="28" s="1"/>
  <c r="F38" i="28" s="1"/>
  <c r="G8" i="28" s="1"/>
  <c r="G38" i="28"/>
  <c r="L40" i="28" s="1"/>
  <c r="L41" i="28" s="1"/>
  <c r="L43" i="28" s="1"/>
  <c r="E38" i="28" l="1"/>
  <c r="G7" i="28" s="1"/>
  <c r="G4" i="28"/>
  <c r="G6" i="28" s="1"/>
  <c r="G9" i="28" l="1"/>
  <c r="L44" i="28" s="1"/>
</calcChain>
</file>

<file path=xl/sharedStrings.xml><?xml version="1.0" encoding="utf-8"?>
<sst xmlns="http://schemas.openxmlformats.org/spreadsheetml/2006/main" count="806" uniqueCount="169">
  <si>
    <t>CONTRACT VARIATION</t>
  </si>
  <si>
    <t>PROJECT:</t>
  </si>
  <si>
    <t>Date:</t>
  </si>
  <si>
    <t>NAME:</t>
  </si>
  <si>
    <t>Welink Construction</t>
  </si>
  <si>
    <t>Site Instruction / Ref:</t>
  </si>
  <si>
    <t>SITE ADDRESS:</t>
  </si>
  <si>
    <t>JOB No:</t>
  </si>
  <si>
    <t>Item</t>
  </si>
  <si>
    <t>Description</t>
  </si>
  <si>
    <t>Cost</t>
  </si>
  <si>
    <t>Credit</t>
  </si>
  <si>
    <t>Qty</t>
  </si>
  <si>
    <t>Unit</t>
  </si>
  <si>
    <t>Rate ($)</t>
  </si>
  <si>
    <t>1</t>
  </si>
  <si>
    <t>item</t>
  </si>
  <si>
    <t>SUB TOTAL</t>
  </si>
  <si>
    <t>NETT VARIATION COST</t>
  </si>
  <si>
    <t>MARGIN AND OVERHEAD COSTS (10%)</t>
  </si>
  <si>
    <t>VARIATION COST EXCLUDING GST</t>
  </si>
  <si>
    <t>GST</t>
  </si>
  <si>
    <t>TOTAL INCLUDING GST</t>
  </si>
  <si>
    <t>Variation Raised By:</t>
  </si>
  <si>
    <t>ACCEPTED FOR AND ON BEHALF OF CLIENT:</t>
  </si>
  <si>
    <t>Authorised By:</t>
  </si>
  <si>
    <t>Variation Register</t>
  </si>
  <si>
    <t>Job #:</t>
    <phoneticPr fontId="0" type="noConversion"/>
  </si>
  <si>
    <t>BASE CONTRACT AMOUNT</t>
    <phoneticPr fontId="0" type="noConversion"/>
  </si>
  <si>
    <t>Project:</t>
  </si>
  <si>
    <t>TOTAL VARIATIONS APPROVED TO DATE</t>
  </si>
  <si>
    <t>Location:</t>
  </si>
  <si>
    <t>SUBTOTAL PSUMS TO DATE</t>
  </si>
  <si>
    <t>SUBTOTAL CONTRACT TO DATE</t>
  </si>
  <si>
    <t xml:space="preserve">PENDING </t>
  </si>
  <si>
    <t>Approved</t>
  </si>
  <si>
    <t>IN DISPUTE</t>
  </si>
  <si>
    <t>Pending</t>
  </si>
  <si>
    <t>PROJECTED CONTRACT TOTAL</t>
  </si>
  <si>
    <t>VO#</t>
  </si>
  <si>
    <t>DESCRIPTION</t>
  </si>
  <si>
    <t>DATE VO
ISSUED</t>
  </si>
  <si>
    <t>VARIATION VALUE</t>
  </si>
  <si>
    <t>PENDING APPROVAL</t>
  </si>
  <si>
    <t>NOT APPROVED</t>
  </si>
  <si>
    <t xml:space="preserve">TOTAL APPROVED </t>
  </si>
  <si>
    <t>NOT PROCEEDING</t>
  </si>
  <si>
    <t>NOD / EOT</t>
  </si>
  <si>
    <t>STATUS</t>
  </si>
  <si>
    <t>NOTES</t>
  </si>
  <si>
    <t>Action</t>
  </si>
  <si>
    <t>Head Contract VO</t>
  </si>
  <si>
    <t>PS</t>
  </si>
  <si>
    <t>TOTALS</t>
  </si>
  <si>
    <t>Client Direct VO</t>
  </si>
  <si>
    <t>Contract Sum</t>
  </si>
  <si>
    <t>Adjusted Contract Sum</t>
  </si>
  <si>
    <t>PROJECTED CONTRACT SUM</t>
  </si>
  <si>
    <t>BANK APPROVED</t>
  </si>
  <si>
    <t>Client Approved</t>
  </si>
  <si>
    <t>22 - 24 Hood St, Subiaco</t>
  </si>
  <si>
    <t>ARCO</t>
  </si>
  <si>
    <t>VO1 - Wet Fire Variation to Ground Floor</t>
  </si>
  <si>
    <t>NB - no additional traffic bollards and signage included</t>
  </si>
  <si>
    <t>Upgrade to 50 dia supply Water to Ground Floor</t>
  </si>
  <si>
    <t xml:space="preserve">VO3 - Earthworks - additional backfill &amp; testing </t>
  </si>
  <si>
    <t>ITEM</t>
  </si>
  <si>
    <t>Site office land rental</t>
  </si>
  <si>
    <t>600x600x600mm concrete pad footing allowed for fire hydrant installation</t>
  </si>
  <si>
    <t>CONTRACT VARIATION - ESTIMATE</t>
  </si>
  <si>
    <t>Additional pipework and sleeves as per IFC drawings</t>
  </si>
  <si>
    <t>CONTRACT VARIATION  - ESTIMATE</t>
  </si>
  <si>
    <t xml:space="preserve">Fire Services Update to IFC
Additional 70m 100m pipework 
Pump Exhaust to go from basement to roof approx. 30m 
24 x new ceiling space sprinklers
34 x new exposed sprinklers
24 x car stacker heads – count as exposed similar pricing
12 water shields – count as exposed similar pricing </t>
  </si>
  <si>
    <t>VO5 - Fire Services IFC Updates</t>
  </si>
  <si>
    <t>VO6 - Tilt up panel design BP to IFC</t>
  </si>
  <si>
    <t>Reinforcement changes from SL102 mesh EF (S00.07 Rev A) to N12-200 EF EW (S02.00 rev 0)</t>
  </si>
  <si>
    <t>Extra panel joints on Elevation 04 Grid 6-9 and Elevation 5 Grid G-E ( S14.01 Rev B to Rev 0)</t>
  </si>
  <si>
    <t>Extra small panels on Elevation 03 L01 Grid G and Elevation 5 L01 Grid G</t>
  </si>
  <si>
    <t>Detail change RBA16RI Spacing change from 1500mm(S00.07 Rev A) to 1000mm (S00.07 Rev 0)</t>
  </si>
  <si>
    <t>Remove shiplap and baffle strip</t>
  </si>
  <si>
    <t>included above</t>
  </si>
  <si>
    <t>VO2 -  Upgrade to 50 dia supply Water to Ground floor</t>
  </si>
  <si>
    <t>VO4 - Site Amenities - Lease</t>
  </si>
  <si>
    <t>Panel rigging extra over due to additional panels from BP to IFC</t>
  </si>
  <si>
    <t xml:space="preserve">Total panel quantity increased to 92 and panels requiring rotation with Franna has increased to 50. </t>
  </si>
  <si>
    <t>Extend Enviro BSM waterproofing to lift pit and top of slab and upturn</t>
  </si>
  <si>
    <t>Original Allowance - Lift pit base and walls</t>
  </si>
  <si>
    <t>VO8 - Additional waterproofing to lift pit and top of slab</t>
  </si>
  <si>
    <t>Submitted</t>
  </si>
  <si>
    <t>Void</t>
  </si>
  <si>
    <t>Rejected</t>
  </si>
  <si>
    <t xml:space="preserve">Submitted </t>
  </si>
  <si>
    <t>Years</t>
  </si>
  <si>
    <t>Remove Contaminated Dirt/New Spoil/Additional Compaction</t>
  </si>
  <si>
    <t>Additional Fire Mastic Jointing</t>
  </si>
  <si>
    <t>Additional Steel Brackets</t>
  </si>
  <si>
    <t>Additional EV DB B2</t>
  </si>
  <si>
    <t>incl</t>
  </si>
  <si>
    <t>BWIC attendance</t>
  </si>
  <si>
    <t xml:space="preserve">item </t>
  </si>
  <si>
    <t>AC</t>
  </si>
  <si>
    <t>Amy Chen</t>
  </si>
  <si>
    <t>Additional Ductwork due to clashes with Services</t>
  </si>
  <si>
    <t>Additional Plasteboard Bulkheads</t>
  </si>
  <si>
    <t>Car Stacker price not included in original budget</t>
  </si>
  <si>
    <t>Builders Works/Protection/Spider Cranes</t>
  </si>
  <si>
    <t>Formwork</t>
  </si>
  <si>
    <t>Concrete Additional Changes from BP to IFC</t>
  </si>
  <si>
    <t>Reinforcement Additional supply and install</t>
  </si>
  <si>
    <t>Shotcrete to Walls</t>
  </si>
  <si>
    <t>Grouting to Boundary due to Latent Condition with soil</t>
  </si>
  <si>
    <t>Omit Block Wall GL G</t>
  </si>
  <si>
    <t>Piling to GL G</t>
  </si>
  <si>
    <t>Latent Condition to Ground necessited Grout infill to Piles</t>
  </si>
  <si>
    <t>Shotcrete to Piles Wall</t>
  </si>
  <si>
    <t>Additional Concrete to Footings with Design Change to Basement</t>
  </si>
  <si>
    <t>Relocation of Fire Hydrant - additional Hydrant and Enclosure</t>
  </si>
  <si>
    <t xml:space="preserve">Earthwork allowance - detail excavation, refill and for additional works </t>
  </si>
  <si>
    <t xml:space="preserve">Electrical Attendance and Builders Works </t>
  </si>
  <si>
    <t>Additional from Design to IFC from Forth Engineering</t>
  </si>
  <si>
    <t>Additional works from Design to IFC Drawings from Forth Engineering</t>
  </si>
  <si>
    <t>Additional backfill &amp; testing - Latent soil conditions was so bad that new sand had to be brough in and compacted for the Pile Mat</t>
  </si>
  <si>
    <t>Additional Fire pipework required from Forth Engineering from Design to IFC</t>
  </si>
  <si>
    <t>Revised Panel Design from Design to IFC Drawings</t>
  </si>
  <si>
    <t>Additional Rigging and Caulking required for new Panel Design from Design to IFC</t>
  </si>
  <si>
    <t xml:space="preserve">Updated Design from Design to IFC </t>
  </si>
  <si>
    <t>VO9 - Electrical Design Changes from Design to IFC</t>
  </si>
  <si>
    <t>VO10 - Mechanical Design Changes Design  to IFC (Provisional)</t>
  </si>
  <si>
    <t>TBA</t>
  </si>
  <si>
    <t>VO6 - Tilt up panel design from Design Development to IFC</t>
  </si>
  <si>
    <t>VO7 - Panel rigging extra over from Design Development to IFC changes</t>
  </si>
  <si>
    <t>VO12 - Concrete and Reo extras from Design to IFC Drawings</t>
  </si>
  <si>
    <t>VO13 - Buildability Issue and Latent Ground Conditions</t>
  </si>
  <si>
    <t>VO11 - Car Stackers not included in Contract</t>
  </si>
  <si>
    <t>13/08/2025</t>
  </si>
  <si>
    <t>3</t>
  </si>
  <si>
    <t>VO11 - Extra over cost for  Car Stackers Prov Sum to Updated Design</t>
  </si>
  <si>
    <t>Budget as per QS report no design/quote previously avaiable.</t>
  </si>
  <si>
    <t>VO</t>
  </si>
  <si>
    <t>VO14 - Client Upgrade Items as per Schedule</t>
  </si>
  <si>
    <t>Upgrade cost items as per Schedule</t>
  </si>
  <si>
    <t>Approved for Signing</t>
  </si>
  <si>
    <t>Completed works</t>
  </si>
  <si>
    <t>Feature Pendant Light - Generic</t>
  </si>
  <si>
    <t>Engineered Floor Boards</t>
  </si>
  <si>
    <t>Drawers</t>
  </si>
  <si>
    <t>Feature Pendant Light</t>
  </si>
  <si>
    <t>Integrated Dishwasher</t>
  </si>
  <si>
    <t>Integrated Fridge &amp; Freezer</t>
  </si>
  <si>
    <t>Washing Machine</t>
  </si>
  <si>
    <t>x2 Heated Towel Rails</t>
  </si>
  <si>
    <t>Engineered Herringbone Floor Boards</t>
  </si>
  <si>
    <t>Herringbone Engineered Floor Boards</t>
  </si>
  <si>
    <t>Feature Pendant Light on Kitchen Island</t>
  </si>
  <si>
    <t>Vertical Heated Towel Rail</t>
  </si>
  <si>
    <t>Feature Light (Pair)</t>
  </si>
  <si>
    <t>x2 Vertical Heated Towel Rails</t>
  </si>
  <si>
    <t>Feature Pendant Light (Coral Linear Rod)</t>
  </si>
  <si>
    <t>Semi-Integrated Dishwasher</t>
  </si>
  <si>
    <t>Microwave</t>
  </si>
  <si>
    <t>Pendant Kitchen Light</t>
  </si>
  <si>
    <t>Herringbone Engineered Floor boards</t>
  </si>
  <si>
    <t>Built-in Integrated Fridge &amp; Freezer</t>
  </si>
  <si>
    <t>Integrated Microwave</t>
  </si>
  <si>
    <t>Herringbone Engineered Floor Boards - French Oak to Living &amp; Kitchen</t>
  </si>
  <si>
    <t>Built-in Integrated Fridge &amp; Freezer - Fisher &amp; Paykel RS90A1 476L</t>
  </si>
  <si>
    <t>Unit No</t>
  </si>
  <si>
    <t>VO15 - Extra over grout and reinforcememt to precat panel base 100mm</t>
  </si>
  <si>
    <t>VO16 - Extra monorail on ground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</si>
</sst>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-&quot;$&quot;* #,##0.00_-;\-&quot;$&quot;* #,##0.00_-;_-&quot;$&quot;* &quot;-&quot;??_-;_-@_-"/>
    <numFmt numFmtId="179" formatCode="0.00_ ;[Red]\-0.00\ "/>
    <numFmt numFmtId="180" formatCode="_-[$$-C09]* #,##0.00_-;\-[$$-C09]* #,##0.00_-;_-[$$-C09]* &quot;-&quot;??_-;_-@_-"/>
    <numFmt numFmtId="181" formatCode="&quot;$&quot;#,##0.00"/>
    <numFmt numFmtId="182" formatCode="m/d/yyyy;@"/>
    <numFmt numFmtId="183" formatCode="_-[$$-C09]* #,##0.0_-;\-[$$-C09]* #,##0.0_-;_-[$$-C09]* &quot;-&quot;??_-;_-@_-"/>
    <numFmt numFmtId="184" formatCode="_(\$* #,##0.00_);_(\$* \(#,##0.00\);_(\$* \-??_);_(@_)"/>
    <numFmt numFmtId="185" formatCode="0.00_)"/>
    <numFmt numFmtId="186" formatCode="[$-409]d\-mmm\-yy;@"/>
  </numFmts>
  <fonts count="82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8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b/>
      <sz val="8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18"/>
      <color theme="5" tint="-0.499984740745262"/>
      <name val="Edwardian Script ITC"/>
      <family val="4"/>
    </font>
    <font>
      <sz val="12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6"/>
      <name val="Helvetica-Narrow"/>
      <family val="2"/>
    </font>
    <font>
      <b/>
      <sz val="16"/>
      <name val="HelveticaNeue LT 65 Medium"/>
    </font>
    <font>
      <b/>
      <sz val="16"/>
      <name val="Helvetica-Narrow"/>
      <family val="2"/>
    </font>
    <font>
      <sz val="10"/>
      <name val="Arial"/>
      <family val="2"/>
    </font>
    <font>
      <sz val="10"/>
      <name val="Myriad Apple Text"/>
    </font>
    <font>
      <b/>
      <sz val="12"/>
      <name val="Myriad Apple Text"/>
    </font>
    <font>
      <sz val="10"/>
      <color indexed="8"/>
      <name val="Arial"/>
      <family val="2"/>
    </font>
    <font>
      <sz val="10"/>
      <color indexed="10"/>
      <name val="Myriad Apple Text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Myriad Apple Text"/>
    </font>
    <font>
      <b/>
      <sz val="10"/>
      <color indexed="12"/>
      <name val="Arial"/>
      <family val="2"/>
    </font>
    <font>
      <sz val="10"/>
      <color indexed="12"/>
      <name val="Myriad Apple Text"/>
    </font>
    <font>
      <i/>
      <strike/>
      <sz val="10"/>
      <color theme="1" tint="0.499984740745262"/>
      <name val="宋体"/>
      <family val="2"/>
      <scheme val="minor"/>
    </font>
    <font>
      <sz val="10"/>
      <name val="宋体"/>
      <family val="2"/>
      <scheme val="minor"/>
    </font>
    <font>
      <i/>
      <sz val="10"/>
      <color theme="1" tint="0.499984740745262"/>
      <name val="宋体"/>
      <family val="2"/>
      <scheme val="minor"/>
    </font>
    <font>
      <b/>
      <sz val="10"/>
      <color theme="1"/>
      <name val="宋体"/>
      <family val="2"/>
      <scheme val="minor"/>
    </font>
    <font>
      <i/>
      <sz val="10"/>
      <color theme="1"/>
      <name val="宋体"/>
      <family val="2"/>
      <scheme val="minor"/>
    </font>
    <font>
      <b/>
      <sz val="10"/>
      <color theme="3"/>
      <name val="宋体"/>
      <family val="2"/>
      <scheme val="minor"/>
    </font>
    <font>
      <sz val="10"/>
      <name val="Helvetica-Narrow"/>
      <family val="2"/>
    </font>
    <font>
      <sz val="10"/>
      <color rgb="FFFF0000"/>
      <name val="宋体"/>
      <family val="2"/>
      <scheme val="minor"/>
    </font>
    <font>
      <sz val="8"/>
      <name val="宋体"/>
      <family val="2"/>
      <scheme val="minor"/>
    </font>
    <font>
      <sz val="18"/>
      <name val="Rage Italic"/>
      <family val="4"/>
    </font>
    <font>
      <b/>
      <sz val="8"/>
      <name val="宋体"/>
      <family val="2"/>
      <scheme val="minor"/>
    </font>
    <font>
      <sz val="8"/>
      <color rgb="FFFF0000"/>
      <name val="宋体"/>
      <family val="2"/>
      <scheme val="minor"/>
    </font>
    <font>
      <b/>
      <i/>
      <sz val="10"/>
      <name val="Arial"/>
      <family val="2"/>
    </font>
    <font>
      <sz val="10"/>
      <color rgb="FFFF0000"/>
      <name val="Myriad Apple Text"/>
    </font>
    <font>
      <b/>
      <sz val="10"/>
      <name val="Myriad Apple Text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rgb="FF3F3F76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0"/>
      <color theme="0"/>
      <name val="Swis721 Lt BT"/>
      <family val="2"/>
    </font>
    <font>
      <sz val="11"/>
      <name val="Swiss (scalable)"/>
      <family val="2"/>
    </font>
    <font>
      <sz val="10"/>
      <name val="Helv"/>
    </font>
    <font>
      <u/>
      <sz val="10"/>
      <color indexed="12"/>
      <name val="Arial"/>
      <family val="2"/>
    </font>
    <font>
      <sz val="10"/>
      <name val="MS Sans Serif"/>
      <family val="2"/>
    </font>
    <font>
      <b/>
      <i/>
      <sz val="16"/>
      <name val="Helv"/>
    </font>
    <font>
      <u/>
      <sz val="10"/>
      <color indexed="12"/>
      <name val="MS Sans Serif"/>
      <family val="2"/>
    </font>
    <font>
      <sz val="10"/>
      <color indexed="8"/>
      <name val="MS Sans Serif"/>
      <family val="2"/>
    </font>
    <font>
      <i/>
      <sz val="12"/>
      <color theme="1"/>
      <name val="宋体"/>
      <family val="2"/>
      <scheme val="minor"/>
    </font>
    <font>
      <b/>
      <sz val="12"/>
      <color theme="3"/>
      <name val="宋体"/>
      <family val="2"/>
      <scheme val="minor"/>
    </font>
    <font>
      <sz val="12"/>
      <name val="宋体"/>
      <family val="2"/>
      <scheme val="minor"/>
    </font>
    <font>
      <sz val="12"/>
      <color rgb="FFFF0000"/>
      <name val="宋体"/>
      <family val="2"/>
      <scheme val="minor"/>
    </font>
    <font>
      <b/>
      <sz val="12"/>
      <name val="宋体"/>
      <family val="2"/>
      <scheme val="minor"/>
    </font>
    <font>
      <sz val="12"/>
      <color theme="5" tint="-0.499984740745262"/>
      <name val="Edwardian Script ITC"/>
      <family val="4"/>
    </font>
    <font>
      <sz val="12"/>
      <name val="Rage Italic"/>
      <family val="4"/>
    </font>
    <font>
      <b/>
      <sz val="10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宋体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08">
    <xf numFmtId="0" fontId="0" fillId="0" borderId="0"/>
    <xf numFmtId="177" fontId="1" fillId="0" borderId="0" applyFont="0" applyFill="0" applyBorder="0" applyAlignment="0" applyProtection="0"/>
    <xf numFmtId="0" fontId="9" fillId="0" borderId="0"/>
    <xf numFmtId="0" fontId="14" fillId="0" borderId="0"/>
    <xf numFmtId="178" fontId="14" fillId="0" borderId="0" applyFont="0" applyFill="0" applyBorder="0" applyAlignment="0" applyProtection="0"/>
    <xf numFmtId="0" fontId="14" fillId="0" borderId="0"/>
    <xf numFmtId="178" fontId="14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46" fillId="0" borderId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4" borderId="0" applyNumberFormat="0" applyBorder="0" applyAlignment="0" applyProtection="0"/>
    <xf numFmtId="0" fontId="47" fillId="16" borderId="0" applyNumberFormat="0" applyBorder="0" applyAlignment="0" applyProtection="0"/>
    <xf numFmtId="0" fontId="47" fillId="13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6" borderId="0" applyNumberFormat="0" applyBorder="0" applyAlignment="0" applyProtection="0"/>
    <xf numFmtId="0" fontId="47" fillId="14" borderId="0" applyNumberFormat="0" applyBorder="0" applyAlignment="0" applyProtection="0"/>
    <xf numFmtId="0" fontId="48" fillId="16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18" borderId="0" applyNumberFormat="0" applyBorder="0" applyAlignment="0" applyProtection="0"/>
    <xf numFmtId="0" fontId="48" fillId="16" borderId="0" applyNumberFormat="0" applyBorder="0" applyAlignment="0" applyProtection="0"/>
    <xf numFmtId="0" fontId="48" fillId="13" borderId="0" applyNumberFormat="0" applyBorder="0" applyAlignment="0" applyProtection="0"/>
    <xf numFmtId="0" fontId="48" fillId="21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9" fillId="25" borderId="0" applyNumberFormat="0" applyBorder="0" applyAlignment="0" applyProtection="0"/>
    <xf numFmtId="0" fontId="50" fillId="26" borderId="55" applyNumberFormat="0" applyAlignment="0" applyProtection="0"/>
    <xf numFmtId="0" fontId="51" fillId="27" borderId="56" applyNumberFormat="0" applyAlignment="0" applyProtection="0"/>
    <xf numFmtId="0" fontId="52" fillId="0" borderId="0" applyNumberFormat="0" applyFill="0" applyBorder="0" applyAlignment="0" applyProtection="0"/>
    <xf numFmtId="0" fontId="53" fillId="16" borderId="0" applyNumberFormat="0" applyBorder="0" applyAlignment="0" applyProtection="0"/>
    <xf numFmtId="0" fontId="54" fillId="0" borderId="57" applyNumberFormat="0" applyFill="0" applyAlignment="0" applyProtection="0"/>
    <xf numFmtId="0" fontId="55" fillId="0" borderId="58" applyNumberFormat="0" applyFill="0" applyAlignment="0" applyProtection="0"/>
    <xf numFmtId="0" fontId="56" fillId="0" borderId="59" applyNumberFormat="0" applyFill="0" applyAlignment="0" applyProtection="0"/>
    <xf numFmtId="0" fontId="56" fillId="0" borderId="0" applyNumberFormat="0" applyFill="0" applyBorder="0" applyAlignment="0" applyProtection="0"/>
    <xf numFmtId="0" fontId="57" fillId="17" borderId="55" applyNumberFormat="0" applyAlignment="0" applyProtection="0"/>
    <xf numFmtId="0" fontId="58" fillId="0" borderId="60" applyNumberFormat="0" applyFill="0" applyAlignment="0" applyProtection="0"/>
    <xf numFmtId="0" fontId="59" fillId="17" borderId="0" applyNumberFormat="0" applyBorder="0" applyAlignment="0" applyProtection="0"/>
    <xf numFmtId="0" fontId="14" fillId="14" borderId="61" applyNumberFormat="0" applyFont="0" applyAlignment="0" applyProtection="0"/>
    <xf numFmtId="0" fontId="60" fillId="26" borderId="62" applyNumberFormat="0" applyAlignment="0" applyProtection="0"/>
    <xf numFmtId="0" fontId="61" fillId="0" borderId="0" applyNumberFormat="0" applyFill="0" applyBorder="0" applyAlignment="0" applyProtection="0"/>
    <xf numFmtId="0" fontId="62" fillId="0" borderId="63" applyNumberFormat="0" applyFill="0" applyAlignment="0" applyProtection="0"/>
    <xf numFmtId="0" fontId="58" fillId="0" borderId="0" applyNumberFormat="0" applyFill="0" applyBorder="0" applyAlignment="0" applyProtection="0"/>
    <xf numFmtId="0" fontId="1" fillId="0" borderId="0"/>
    <xf numFmtId="178" fontId="1" fillId="0" borderId="0" applyFont="0" applyFill="0" applyBorder="0" applyAlignment="0" applyProtection="0"/>
    <xf numFmtId="0" fontId="46" fillId="0" borderId="0"/>
    <xf numFmtId="9" fontId="1" fillId="0" borderId="0" applyFont="0" applyFill="0" applyBorder="0" applyAlignment="0" applyProtection="0"/>
    <xf numFmtId="0" fontId="14" fillId="0" borderId="0"/>
    <xf numFmtId="178" fontId="14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42" fillId="9" borderId="52" applyNumberFormat="0" applyAlignment="0" applyProtection="0"/>
    <xf numFmtId="0" fontId="45" fillId="11" borderId="54" applyNumberFormat="0" applyAlignment="0" applyProtection="0"/>
    <xf numFmtId="4" fontId="63" fillId="29" borderId="16">
      <alignment horizontal="right"/>
    </xf>
    <xf numFmtId="4" fontId="63" fillId="28" borderId="0" applyProtection="0">
      <alignment horizontal="right" vertical="center"/>
    </xf>
    <xf numFmtId="0" fontId="64" fillId="0" borderId="0"/>
    <xf numFmtId="176" fontId="14" fillId="0" borderId="0" applyFill="0" applyBorder="0" applyAlignment="0" applyProtection="0"/>
    <xf numFmtId="184" fontId="64" fillId="0" borderId="0" applyFill="0" applyBorder="0" applyAlignment="0" applyProtection="0"/>
    <xf numFmtId="178" fontId="1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184" fontId="65" fillId="0" borderId="0" applyFont="0" applyFill="0" applyBorder="0" applyAlignment="0" applyProtection="0">
      <alignment horizontal="right"/>
    </xf>
    <xf numFmtId="185" fontId="68" fillId="0" borderId="0"/>
    <xf numFmtId="0" fontId="14" fillId="0" borderId="0"/>
    <xf numFmtId="0" fontId="67" fillId="0" borderId="0"/>
    <xf numFmtId="0" fontId="67" fillId="0" borderId="0"/>
    <xf numFmtId="0" fontId="14" fillId="0" borderId="0"/>
    <xf numFmtId="0" fontId="1" fillId="0" borderId="0"/>
    <xf numFmtId="9" fontId="64" fillId="0" borderId="0" applyFill="0" applyBorder="0" applyAlignment="0" applyProtection="0"/>
    <xf numFmtId="0" fontId="44" fillId="0" borderId="53" applyNumberFormat="0" applyFill="0" applyAlignment="0" applyProtection="0"/>
    <xf numFmtId="0" fontId="64" fillId="0" borderId="0"/>
    <xf numFmtId="0" fontId="64" fillId="0" borderId="0"/>
    <xf numFmtId="9" fontId="1" fillId="0" borderId="0" applyFont="0" applyFill="0" applyBorder="0" applyAlignment="0" applyProtection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4" fillId="0" borderId="0"/>
    <xf numFmtId="0" fontId="43" fillId="10" borderId="5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</cellStyleXfs>
  <cellXfs count="383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179" fontId="0" fillId="0" borderId="0" xfId="0" applyNumberFormat="1"/>
    <xf numFmtId="0" fontId="3" fillId="0" borderId="0" xfId="0" applyFont="1" applyAlignment="1">
      <alignment horizontal="center" vertical="top"/>
    </xf>
    <xf numFmtId="179" fontId="3" fillId="0" borderId="0" xfId="0" applyNumberFormat="1" applyFont="1" applyAlignment="1">
      <alignment horizontal="center"/>
    </xf>
    <xf numFmtId="0" fontId="5" fillId="0" borderId="0" xfId="0" applyFont="1"/>
    <xf numFmtId="179" fontId="5" fillId="0" borderId="0" xfId="0" applyNumberFormat="1" applyFont="1"/>
    <xf numFmtId="0" fontId="7" fillId="0" borderId="0" xfId="0" applyFont="1" applyAlignment="1">
      <alignment horizontal="right" wrapText="1"/>
    </xf>
    <xf numFmtId="0" fontId="6" fillId="0" borderId="0" xfId="0" applyFont="1" applyAlignment="1">
      <alignment horizontal="left" wrapText="1"/>
    </xf>
    <xf numFmtId="180" fontId="7" fillId="0" borderId="0" xfId="0" applyNumberFormat="1" applyFont="1"/>
    <xf numFmtId="180" fontId="8" fillId="0" borderId="0" xfId="0" applyNumberFormat="1" applyFont="1" applyAlignment="1">
      <alignment vertical="center"/>
    </xf>
    <xf numFmtId="180" fontId="5" fillId="0" borderId="14" xfId="0" applyNumberFormat="1" applyFont="1" applyBorder="1" applyAlignment="1">
      <alignment horizontal="left"/>
    </xf>
    <xf numFmtId="180" fontId="5" fillId="0" borderId="0" xfId="0" applyNumberFormat="1" applyFont="1" applyAlignment="1">
      <alignment horizontal="left"/>
    </xf>
    <xf numFmtId="180" fontId="5" fillId="0" borderId="9" xfId="0" applyNumberFormat="1" applyFont="1" applyBorder="1" applyAlignment="1">
      <alignment horizontal="left"/>
    </xf>
    <xf numFmtId="180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wrapText="1"/>
    </xf>
    <xf numFmtId="179" fontId="7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14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80" fontId="8" fillId="0" borderId="0" xfId="0" applyNumberFormat="1" applyFont="1" applyAlignment="1">
      <alignment horizontal="center" vertical="center"/>
    </xf>
    <xf numFmtId="180" fontId="8" fillId="0" borderId="14" xfId="0" applyNumberFormat="1" applyFont="1" applyBorder="1" applyAlignment="1">
      <alignment horizontal="center" vertical="center"/>
    </xf>
    <xf numFmtId="180" fontId="7" fillId="0" borderId="0" xfId="0" applyNumberFormat="1" applyFont="1" applyAlignment="1">
      <alignment horizontal="center"/>
    </xf>
    <xf numFmtId="180" fontId="7" fillId="0" borderId="13" xfId="0" applyNumberFormat="1" applyFont="1" applyBorder="1" applyAlignment="1">
      <alignment horizontal="left"/>
    </xf>
    <xf numFmtId="180" fontId="7" fillId="0" borderId="14" xfId="0" applyNumberFormat="1" applyFont="1" applyBorder="1" applyAlignment="1">
      <alignment horizontal="left"/>
    </xf>
    <xf numFmtId="0" fontId="0" fillId="0" borderId="13" xfId="0" applyBorder="1"/>
    <xf numFmtId="180" fontId="5" fillId="0" borderId="10" xfId="0" applyNumberFormat="1" applyFont="1" applyBorder="1" applyAlignment="1">
      <alignment horizontal="left"/>
    </xf>
    <xf numFmtId="0" fontId="4" fillId="0" borderId="0" xfId="0" applyFont="1" applyAlignment="1">
      <alignment horizontal="left" vertical="top"/>
    </xf>
    <xf numFmtId="180" fontId="7" fillId="0" borderId="11" xfId="0" applyNumberFormat="1" applyFont="1" applyBorder="1" applyAlignment="1">
      <alignment horizontal="left"/>
    </xf>
    <xf numFmtId="180" fontId="7" fillId="0" borderId="12" xfId="0" applyNumberFormat="1" applyFont="1" applyBorder="1" applyAlignment="1">
      <alignment horizontal="left"/>
    </xf>
    <xf numFmtId="0" fontId="0" fillId="0" borderId="14" xfId="0" applyBorder="1"/>
    <xf numFmtId="180" fontId="5" fillId="0" borderId="13" xfId="0" applyNumberFormat="1" applyFont="1" applyBorder="1" applyAlignment="1">
      <alignment horizontal="left"/>
    </xf>
    <xf numFmtId="0" fontId="12" fillId="0" borderId="1" xfId="2" applyFont="1" applyBorder="1"/>
    <xf numFmtId="181" fontId="13" fillId="0" borderId="1" xfId="2" applyNumberFormat="1" applyFont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1" xfId="2" applyFont="1" applyBorder="1" applyAlignment="1">
      <alignment horizontal="center" vertical="center"/>
    </xf>
    <xf numFmtId="0" fontId="15" fillId="0" borderId="0" xfId="3" applyFont="1" applyAlignment="1">
      <alignment horizontal="center" vertical="top"/>
    </xf>
    <xf numFmtId="0" fontId="16" fillId="0" borderId="0" xfId="3" applyFont="1" applyAlignment="1">
      <alignment horizontal="left" vertical="top"/>
    </xf>
    <xf numFmtId="0" fontId="15" fillId="0" borderId="0" xfId="3" applyFont="1" applyAlignment="1">
      <alignment vertical="top" wrapText="1"/>
    </xf>
    <xf numFmtId="0" fontId="15" fillId="0" borderId="0" xfId="3" applyFont="1" applyAlignment="1">
      <alignment vertical="top"/>
    </xf>
    <xf numFmtId="0" fontId="14" fillId="0" borderId="0" xfId="3" applyAlignment="1">
      <alignment vertical="top" wrapText="1"/>
    </xf>
    <xf numFmtId="178" fontId="14" fillId="0" borderId="0" xfId="4" applyAlignment="1">
      <alignment horizontal="center" vertical="top"/>
    </xf>
    <xf numFmtId="0" fontId="14" fillId="0" borderId="0" xfId="3" applyAlignment="1">
      <alignment horizontal="right" vertical="top"/>
    </xf>
    <xf numFmtId="178" fontId="18" fillId="0" borderId="0" xfId="4" applyFont="1" applyAlignment="1">
      <alignment horizontal="center" vertical="top"/>
    </xf>
    <xf numFmtId="178" fontId="17" fillId="0" borderId="0" xfId="4" applyFont="1" applyAlignment="1">
      <alignment horizontal="center" vertical="top"/>
    </xf>
    <xf numFmtId="0" fontId="14" fillId="0" borderId="0" xfId="3" applyAlignment="1">
      <alignment vertical="top"/>
    </xf>
    <xf numFmtId="0" fontId="14" fillId="0" borderId="0" xfId="3" applyAlignment="1">
      <alignment horizontal="left" vertical="top" wrapText="1"/>
    </xf>
    <xf numFmtId="0" fontId="14" fillId="0" borderId="9" xfId="3" applyBorder="1" applyAlignment="1">
      <alignment horizontal="right" vertical="top"/>
    </xf>
    <xf numFmtId="0" fontId="14" fillId="0" borderId="1" xfId="3" applyBorder="1" applyAlignment="1">
      <alignment horizontal="right" vertical="top"/>
    </xf>
    <xf numFmtId="178" fontId="21" fillId="0" borderId="1" xfId="4" applyFont="1" applyBorder="1" applyAlignment="1">
      <alignment horizontal="right" vertical="center"/>
    </xf>
    <xf numFmtId="178" fontId="20" fillId="0" borderId="0" xfId="4" applyFont="1" applyAlignment="1">
      <alignment horizontal="center" vertical="center"/>
    </xf>
    <xf numFmtId="0" fontId="14" fillId="0" borderId="0" xfId="3" applyAlignment="1">
      <alignment horizontal="center" vertical="top"/>
    </xf>
    <xf numFmtId="0" fontId="22" fillId="0" borderId="0" xfId="3" applyFont="1" applyAlignment="1">
      <alignment horizontal="center" vertical="center" wrapText="1"/>
    </xf>
    <xf numFmtId="0" fontId="14" fillId="0" borderId="4" xfId="3" applyBorder="1" applyAlignment="1">
      <alignment horizontal="center" vertical="center"/>
    </xf>
    <xf numFmtId="0" fontId="14" fillId="0" borderId="3" xfId="5" applyBorder="1" applyAlignment="1" applyProtection="1">
      <alignment horizontal="left" vertical="center" wrapText="1" indent="1"/>
      <protection locked="0"/>
    </xf>
    <xf numFmtId="178" fontId="14" fillId="0" borderId="4" xfId="1" applyNumberFormat="1" applyFont="1" applyBorder="1" applyAlignment="1">
      <alignment horizontal="center" vertical="center"/>
    </xf>
    <xf numFmtId="178" fontId="14" fillId="0" borderId="5" xfId="4" applyBorder="1" applyAlignment="1">
      <alignment horizontal="center" vertical="center"/>
    </xf>
    <xf numFmtId="0" fontId="14" fillId="0" borderId="6" xfId="4" applyNumberFormat="1" applyBorder="1" applyAlignment="1">
      <alignment horizontal="center" vertical="center"/>
    </xf>
    <xf numFmtId="0" fontId="14" fillId="0" borderId="3" xfId="4" applyNumberFormat="1" applyBorder="1" applyAlignment="1">
      <alignment horizontal="center" vertical="center"/>
    </xf>
    <xf numFmtId="0" fontId="14" fillId="0" borderId="4" xfId="3" applyBorder="1" applyAlignment="1">
      <alignment vertical="center" wrapText="1"/>
    </xf>
    <xf numFmtId="0" fontId="20" fillId="0" borderId="0" xfId="3" applyFont="1" applyAlignment="1">
      <alignment horizontal="right" vertical="top" wrapText="1"/>
    </xf>
    <xf numFmtId="0" fontId="23" fillId="0" borderId="0" xfId="4" applyNumberFormat="1" applyFont="1" applyAlignment="1">
      <alignment horizontal="center" vertical="top"/>
    </xf>
    <xf numFmtId="178" fontId="20" fillId="0" borderId="0" xfId="1" applyNumberFormat="1" applyFont="1" applyAlignment="1">
      <alignment horizontal="center" vertical="top"/>
    </xf>
    <xf numFmtId="0" fontId="24" fillId="0" borderId="0" xfId="4" applyNumberFormat="1" applyFont="1" applyAlignment="1">
      <alignment horizontal="center" vertical="top"/>
    </xf>
    <xf numFmtId="178" fontId="24" fillId="0" borderId="0" xfId="4" applyFont="1" applyAlignment="1">
      <alignment horizontal="center" vertical="top"/>
    </xf>
    <xf numFmtId="182" fontId="15" fillId="0" borderId="0" xfId="4" applyNumberFormat="1" applyFont="1" applyAlignment="1">
      <alignment horizontal="center" vertical="top"/>
    </xf>
    <xf numFmtId="0" fontId="14" fillId="0" borderId="0" xfId="3" applyAlignment="1">
      <alignment horizontal="right" vertical="center"/>
    </xf>
    <xf numFmtId="14" fontId="14" fillId="0" borderId="0" xfId="3" applyNumberFormat="1" applyAlignment="1">
      <alignment horizontal="left" vertical="center" wrapText="1"/>
    </xf>
    <xf numFmtId="178" fontId="17" fillId="0" borderId="5" xfId="4" applyFont="1" applyBorder="1" applyAlignment="1">
      <alignment horizontal="center" vertical="center"/>
    </xf>
    <xf numFmtId="0" fontId="17" fillId="0" borderId="6" xfId="4" applyNumberFormat="1" applyFont="1" applyBorder="1" applyAlignment="1">
      <alignment horizontal="center" vertical="center"/>
    </xf>
    <xf numFmtId="0" fontId="17" fillId="0" borderId="3" xfId="4" applyNumberFormat="1" applyFont="1" applyBorder="1" applyAlignment="1">
      <alignment horizontal="center" vertical="center"/>
    </xf>
    <xf numFmtId="178" fontId="14" fillId="0" borderId="5" xfId="1" applyNumberFormat="1" applyFont="1" applyBorder="1" applyAlignment="1">
      <alignment horizontal="center" vertical="center"/>
    </xf>
    <xf numFmtId="178" fontId="17" fillId="0" borderId="6" xfId="4" applyFont="1" applyBorder="1" applyAlignment="1">
      <alignment horizontal="center" vertical="center"/>
    </xf>
    <xf numFmtId="178" fontId="17" fillId="0" borderId="22" xfId="4" applyFont="1" applyBorder="1" applyAlignment="1">
      <alignment horizontal="center" vertical="center"/>
    </xf>
    <xf numFmtId="0" fontId="17" fillId="0" borderId="23" xfId="4" applyNumberFormat="1" applyFont="1" applyBorder="1" applyAlignment="1">
      <alignment horizontal="center" vertical="center"/>
    </xf>
    <xf numFmtId="0" fontId="10" fillId="0" borderId="31" xfId="0" applyFont="1" applyBorder="1" applyAlignment="1">
      <alignment vertical="top" wrapText="1"/>
    </xf>
    <xf numFmtId="49" fontId="10" fillId="0" borderId="32" xfId="0" applyNumberFormat="1" applyFont="1" applyBorder="1" applyAlignment="1">
      <alignment horizontal="center" vertical="top"/>
    </xf>
    <xf numFmtId="180" fontId="10" fillId="0" borderId="32" xfId="0" applyNumberFormat="1" applyFont="1" applyBorder="1" applyAlignment="1">
      <alignment horizontal="center" vertical="top"/>
    </xf>
    <xf numFmtId="180" fontId="26" fillId="0" borderId="32" xfId="0" applyNumberFormat="1" applyFont="1" applyBorder="1" applyAlignment="1">
      <alignment horizontal="center" vertical="top" wrapText="1"/>
    </xf>
    <xf numFmtId="180" fontId="27" fillId="0" borderId="32" xfId="0" applyNumberFormat="1" applyFont="1" applyBorder="1" applyAlignment="1">
      <alignment horizontal="center" vertical="top" wrapText="1"/>
    </xf>
    <xf numFmtId="0" fontId="10" fillId="0" borderId="35" xfId="0" applyFont="1" applyBorder="1" applyAlignment="1">
      <alignment wrapText="1"/>
    </xf>
    <xf numFmtId="49" fontId="10" fillId="0" borderId="36" xfId="0" applyNumberFormat="1" applyFont="1" applyBorder="1" applyAlignment="1">
      <alignment horizontal="center"/>
    </xf>
    <xf numFmtId="180" fontId="10" fillId="0" borderId="36" xfId="0" applyNumberFormat="1" applyFont="1" applyBorder="1" applyAlignment="1">
      <alignment horizontal="center"/>
    </xf>
    <xf numFmtId="180" fontId="10" fillId="0" borderId="37" xfId="0" applyNumberFormat="1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horizontal="right"/>
    </xf>
    <xf numFmtId="179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wrapText="1"/>
    </xf>
    <xf numFmtId="0" fontId="29" fillId="0" borderId="0" xfId="0" applyFont="1" applyAlignment="1">
      <alignment vertical="top"/>
    </xf>
    <xf numFmtId="0" fontId="28" fillId="0" borderId="1" xfId="0" applyFont="1" applyBorder="1" applyAlignment="1">
      <alignment wrapText="1"/>
    </xf>
    <xf numFmtId="0" fontId="10" fillId="0" borderId="0" xfId="0" applyFont="1" applyAlignment="1">
      <alignment horizontal="center"/>
    </xf>
    <xf numFmtId="179" fontId="10" fillId="0" borderId="0" xfId="0" applyNumberFormat="1" applyFont="1" applyAlignment="1">
      <alignment horizontal="center"/>
    </xf>
    <xf numFmtId="0" fontId="30" fillId="2" borderId="18" xfId="0" applyFont="1" applyFill="1" applyBorder="1" applyAlignment="1">
      <alignment horizontal="center" vertical="top"/>
    </xf>
    <xf numFmtId="0" fontId="30" fillId="2" borderId="18" xfId="0" applyFont="1" applyFill="1" applyBorder="1" applyAlignment="1">
      <alignment horizontal="center"/>
    </xf>
    <xf numFmtId="179" fontId="30" fillId="2" borderId="19" xfId="0" applyNumberFormat="1" applyFont="1" applyFill="1" applyBorder="1" applyAlignment="1">
      <alignment horizontal="center"/>
    </xf>
    <xf numFmtId="0" fontId="26" fillId="0" borderId="26" xfId="0" applyFont="1" applyBorder="1" applyAlignment="1">
      <alignment horizontal="center" vertical="top"/>
    </xf>
    <xf numFmtId="0" fontId="10" fillId="0" borderId="27" xfId="0" applyFont="1" applyBorder="1" applyAlignment="1">
      <alignment vertical="top" wrapText="1"/>
    </xf>
    <xf numFmtId="0" fontId="10" fillId="0" borderId="30" xfId="0" applyFont="1" applyBorder="1" applyAlignment="1">
      <alignment horizontal="center" vertical="top"/>
    </xf>
    <xf numFmtId="0" fontId="25" fillId="0" borderId="30" xfId="0" applyFont="1" applyBorder="1" applyAlignment="1">
      <alignment horizontal="center" vertical="top"/>
    </xf>
    <xf numFmtId="0" fontId="10" fillId="0" borderId="34" xfId="0" applyFont="1" applyBorder="1" applyAlignment="1">
      <alignment horizontal="center" vertical="top"/>
    </xf>
    <xf numFmtId="180" fontId="28" fillId="0" borderId="28" xfId="0" applyNumberFormat="1" applyFont="1" applyBorder="1" applyAlignment="1">
      <alignment horizontal="center" vertical="top"/>
    </xf>
    <xf numFmtId="0" fontId="20" fillId="0" borderId="3" xfId="3" applyFont="1" applyBorder="1" applyAlignment="1">
      <alignment horizontal="right" vertical="center" wrapText="1"/>
    </xf>
    <xf numFmtId="178" fontId="20" fillId="0" borderId="4" xfId="1" applyNumberFormat="1" applyFont="1" applyBorder="1" applyAlignment="1">
      <alignment horizontal="center" vertical="center"/>
    </xf>
    <xf numFmtId="178" fontId="14" fillId="0" borderId="4" xfId="3" applyNumberFormat="1" applyBorder="1" applyAlignment="1">
      <alignment vertical="center" wrapText="1"/>
    </xf>
    <xf numFmtId="0" fontId="15" fillId="0" borderId="0" xfId="3" applyFont="1" applyAlignment="1">
      <alignment vertical="center"/>
    </xf>
    <xf numFmtId="178" fontId="21" fillId="0" borderId="0" xfId="4" applyFont="1" applyAlignment="1">
      <alignment horizontal="right" vertical="center"/>
    </xf>
    <xf numFmtId="181" fontId="14" fillId="0" borderId="0" xfId="4" applyNumberFormat="1" applyAlignment="1">
      <alignment horizontal="right" vertical="top"/>
    </xf>
    <xf numFmtId="178" fontId="20" fillId="0" borderId="5" xfId="1" applyNumberFormat="1" applyFont="1" applyBorder="1" applyAlignment="1">
      <alignment horizontal="center" vertical="center"/>
    </xf>
    <xf numFmtId="14" fontId="14" fillId="0" borderId="3" xfId="4" applyNumberFormat="1" applyBorder="1" applyAlignment="1">
      <alignment horizontal="center" vertical="center"/>
    </xf>
    <xf numFmtId="14" fontId="14" fillId="0" borderId="3" xfId="1" applyNumberFormat="1" applyFont="1" applyBorder="1" applyAlignment="1">
      <alignment horizontal="center" vertical="center"/>
    </xf>
    <xf numFmtId="0" fontId="23" fillId="0" borderId="3" xfId="4" applyNumberFormat="1" applyFont="1" applyBorder="1" applyAlignment="1">
      <alignment horizontal="center" vertical="center"/>
    </xf>
    <xf numFmtId="178" fontId="14" fillId="0" borderId="48" xfId="1" applyNumberFormat="1" applyFont="1" applyBorder="1" applyAlignment="1">
      <alignment horizontal="center" vertical="center"/>
    </xf>
    <xf numFmtId="178" fontId="19" fillId="0" borderId="48" xfId="1" applyNumberFormat="1" applyFont="1" applyBorder="1" applyAlignment="1">
      <alignment horizontal="center" vertical="center"/>
    </xf>
    <xf numFmtId="0" fontId="14" fillId="0" borderId="19" xfId="3" applyBorder="1" applyAlignment="1">
      <alignment horizontal="center" vertical="center" wrapText="1"/>
    </xf>
    <xf numFmtId="0" fontId="14" fillId="0" borderId="24" xfId="3" applyBorder="1" applyAlignment="1">
      <alignment horizontal="center" vertical="center" wrapText="1"/>
    </xf>
    <xf numFmtId="0" fontId="14" fillId="0" borderId="18" xfId="4" applyNumberFormat="1" applyBorder="1" applyAlignment="1">
      <alignment horizontal="center" vertical="center" wrapText="1"/>
    </xf>
    <xf numFmtId="0" fontId="14" fillId="0" borderId="25" xfId="4" applyNumberFormat="1" applyBorder="1" applyAlignment="1">
      <alignment horizontal="center" vertical="center" wrapText="1"/>
    </xf>
    <xf numFmtId="178" fontId="14" fillId="0" borderId="17" xfId="4" applyBorder="1" applyAlignment="1">
      <alignment horizontal="center" vertical="center" wrapText="1"/>
    </xf>
    <xf numFmtId="182" fontId="14" fillId="0" borderId="18" xfId="4" applyNumberFormat="1" applyBorder="1" applyAlignment="1">
      <alignment horizontal="center" vertical="center" wrapText="1"/>
    </xf>
    <xf numFmtId="178" fontId="17" fillId="0" borderId="19" xfId="4" applyFont="1" applyBorder="1" applyAlignment="1">
      <alignment horizontal="center" vertical="center" wrapText="1"/>
    </xf>
    <xf numFmtId="178" fontId="17" fillId="0" borderId="47" xfId="4" applyFont="1" applyBorder="1" applyAlignment="1">
      <alignment horizontal="center" vertical="center" wrapText="1"/>
    </xf>
    <xf numFmtId="178" fontId="17" fillId="0" borderId="24" xfId="4" applyFont="1" applyBorder="1" applyAlignment="1">
      <alignment horizontal="center" vertical="center" wrapText="1"/>
    </xf>
    <xf numFmtId="14" fontId="31" fillId="0" borderId="1" xfId="2" applyNumberFormat="1" applyFont="1" applyBorder="1"/>
    <xf numFmtId="178" fontId="14" fillId="0" borderId="21" xfId="1" applyNumberFormat="1" applyFont="1" applyBorder="1" applyAlignment="1">
      <alignment horizontal="center" vertical="center"/>
    </xf>
    <xf numFmtId="180" fontId="34" fillId="0" borderId="13" xfId="0" applyNumberFormat="1" applyFont="1" applyBorder="1" applyAlignment="1">
      <alignment horizontal="center" vertical="top"/>
    </xf>
    <xf numFmtId="181" fontId="14" fillId="5" borderId="2" xfId="4" applyNumberFormat="1" applyFill="1" applyBorder="1" applyAlignment="1">
      <alignment horizontal="right" vertical="top"/>
    </xf>
    <xf numFmtId="181" fontId="14" fillId="5" borderId="5" xfId="4" applyNumberFormat="1" applyFill="1" applyBorder="1" applyAlignment="1">
      <alignment horizontal="right" vertical="top"/>
    </xf>
    <xf numFmtId="178" fontId="14" fillId="5" borderId="43" xfId="4" applyFill="1" applyBorder="1" applyAlignment="1">
      <alignment horizontal="center" vertical="top"/>
    </xf>
    <xf numFmtId="181" fontId="14" fillId="5" borderId="45" xfId="4" applyNumberFormat="1" applyFill="1" applyBorder="1" applyAlignment="1">
      <alignment horizontal="right" vertical="top"/>
    </xf>
    <xf numFmtId="178" fontId="20" fillId="5" borderId="10" xfId="4" applyFont="1" applyFill="1" applyBorder="1" applyAlignment="1">
      <alignment horizontal="center" vertical="center"/>
    </xf>
    <xf numFmtId="0" fontId="14" fillId="0" borderId="42" xfId="3" applyBorder="1" applyAlignment="1">
      <alignment horizontal="right" vertical="center" wrapText="1"/>
    </xf>
    <xf numFmtId="0" fontId="11" fillId="0" borderId="1" xfId="2" applyFont="1" applyBorder="1" applyAlignment="1">
      <alignment horizontal="right"/>
    </xf>
    <xf numFmtId="0" fontId="15" fillId="0" borderId="0" xfId="3" applyFont="1" applyAlignment="1">
      <alignment horizontal="right" vertical="top" wrapText="1"/>
    </xf>
    <xf numFmtId="0" fontId="15" fillId="0" borderId="0" xfId="3" applyFont="1" applyAlignment="1">
      <alignment horizontal="right" vertical="top"/>
    </xf>
    <xf numFmtId="0" fontId="14" fillId="0" borderId="46" xfId="3" applyBorder="1" applyAlignment="1">
      <alignment horizontal="right" vertical="center" wrapText="1"/>
    </xf>
    <xf numFmtId="178" fontId="20" fillId="4" borderId="48" xfId="1" applyNumberFormat="1" applyFont="1" applyFill="1" applyBorder="1" applyAlignment="1">
      <alignment horizontal="center" vertical="center"/>
    </xf>
    <xf numFmtId="178" fontId="20" fillId="3" borderId="4" xfId="1" applyNumberFormat="1" applyFont="1" applyFill="1" applyBorder="1" applyAlignment="1">
      <alignment horizontal="center" vertical="center"/>
    </xf>
    <xf numFmtId="178" fontId="15" fillId="0" borderId="0" xfId="3" applyNumberFormat="1" applyFont="1" applyAlignment="1">
      <alignment vertical="top"/>
    </xf>
    <xf numFmtId="180" fontId="26" fillId="0" borderId="32" xfId="0" applyNumberFormat="1" applyFont="1" applyBorder="1" applyAlignment="1">
      <alignment horizontal="center" vertical="top"/>
    </xf>
    <xf numFmtId="180" fontId="33" fillId="0" borderId="18" xfId="0" applyNumberFormat="1" applyFont="1" applyBorder="1" applyAlignment="1">
      <alignment horizontal="center"/>
    </xf>
    <xf numFmtId="49" fontId="26" fillId="0" borderId="32" xfId="0" applyNumberFormat="1" applyFont="1" applyBorder="1" applyAlignment="1">
      <alignment horizontal="center" vertical="top"/>
    </xf>
    <xf numFmtId="178" fontId="14" fillId="5" borderId="43" xfId="4" applyFont="1" applyFill="1" applyBorder="1" applyAlignment="1">
      <alignment horizontal="center" vertical="top"/>
    </xf>
    <xf numFmtId="178" fontId="14" fillId="0" borderId="21" xfId="1" applyNumberFormat="1" applyFont="1" applyFill="1" applyBorder="1" applyAlignment="1">
      <alignment horizontal="center" vertical="center"/>
    </xf>
    <xf numFmtId="178" fontId="14" fillId="0" borderId="4" xfId="1" applyNumberFormat="1" applyFont="1" applyFill="1" applyBorder="1" applyAlignment="1">
      <alignment horizontal="center" vertical="center"/>
    </xf>
    <xf numFmtId="14" fontId="14" fillId="0" borderId="44" xfId="4" applyNumberFormat="1" applyBorder="1" applyAlignment="1">
      <alignment horizontal="center" vertical="center"/>
    </xf>
    <xf numFmtId="14" fontId="14" fillId="0" borderId="44" xfId="1" applyNumberFormat="1" applyFont="1" applyBorder="1" applyAlignment="1">
      <alignment horizontal="center" vertical="center"/>
    </xf>
    <xf numFmtId="178" fontId="20" fillId="4" borderId="4" xfId="1" applyNumberFormat="1" applyFont="1" applyFill="1" applyBorder="1" applyAlignment="1">
      <alignment horizontal="center" vertical="center"/>
    </xf>
    <xf numFmtId="0" fontId="14" fillId="0" borderId="4" xfId="3" applyBorder="1" applyAlignment="1">
      <alignment horizontal="right" vertical="center" wrapText="1"/>
    </xf>
    <xf numFmtId="178" fontId="14" fillId="0" borderId="44" xfId="1" applyNumberFormat="1" applyFont="1" applyFill="1" applyBorder="1" applyAlignment="1">
      <alignment horizontal="center" vertical="center"/>
    </xf>
    <xf numFmtId="178" fontId="14" fillId="0" borderId="44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76" fontId="10" fillId="0" borderId="26" xfId="0" applyNumberFormat="1" applyFont="1" applyBorder="1" applyAlignment="1">
      <alignment horizontal="center" vertical="top"/>
    </xf>
    <xf numFmtId="176" fontId="10" fillId="0" borderId="29" xfId="0" applyNumberFormat="1" applyFont="1" applyBorder="1" applyAlignment="1">
      <alignment horizontal="center" vertical="top"/>
    </xf>
    <xf numFmtId="176" fontId="26" fillId="0" borderId="30" xfId="0" applyNumberFormat="1" applyFont="1" applyBorder="1" applyAlignment="1">
      <alignment horizontal="center" vertical="top"/>
    </xf>
    <xf numFmtId="176" fontId="10" fillId="0" borderId="33" xfId="0" applyNumberFormat="1" applyFont="1" applyBorder="1" applyAlignment="1">
      <alignment horizontal="center" vertical="top"/>
    </xf>
    <xf numFmtId="176" fontId="10" fillId="0" borderId="30" xfId="0" applyNumberFormat="1" applyFont="1" applyBorder="1" applyAlignment="1">
      <alignment horizontal="center" vertical="top"/>
    </xf>
    <xf numFmtId="176" fontId="26" fillId="0" borderId="30" xfId="0" applyNumberFormat="1" applyFont="1" applyBorder="1" applyAlignment="1">
      <alignment horizontal="center" vertical="top" wrapText="1"/>
    </xf>
    <xf numFmtId="176" fontId="10" fillId="0" borderId="34" xfId="0" applyNumberFormat="1" applyFont="1" applyBorder="1" applyAlignment="1">
      <alignment horizontal="center"/>
    </xf>
    <xf numFmtId="176" fontId="10" fillId="0" borderId="37" xfId="0" applyNumberFormat="1" applyFont="1" applyBorder="1" applyAlignment="1">
      <alignment horizontal="center"/>
    </xf>
    <xf numFmtId="176" fontId="32" fillId="0" borderId="33" xfId="0" applyNumberFormat="1" applyFont="1" applyBorder="1" applyAlignment="1">
      <alignment horizontal="center" vertical="top"/>
    </xf>
    <xf numFmtId="176" fontId="10" fillId="0" borderId="33" xfId="1" applyNumberFormat="1" applyFont="1" applyBorder="1" applyAlignment="1">
      <alignment horizontal="center" vertical="top"/>
    </xf>
    <xf numFmtId="180" fontId="10" fillId="0" borderId="32" xfId="0" applyNumberFormat="1" applyFont="1" applyBorder="1" applyAlignment="1">
      <alignment horizontal="right" vertical="top"/>
    </xf>
    <xf numFmtId="176" fontId="10" fillId="0" borderId="30" xfId="0" applyNumberFormat="1" applyFont="1" applyBorder="1" applyAlignment="1">
      <alignment horizontal="center" vertical="top" wrapText="1"/>
    </xf>
    <xf numFmtId="178" fontId="14" fillId="0" borderId="5" xfId="5" applyNumberFormat="1" applyBorder="1" applyAlignment="1" applyProtection="1">
      <alignment horizontal="center" vertical="center" wrapText="1"/>
      <protection locked="0"/>
    </xf>
    <xf numFmtId="178" fontId="14" fillId="0" borderId="5" xfId="1" applyNumberFormat="1" applyFont="1" applyFill="1" applyBorder="1" applyAlignment="1">
      <alignment horizontal="center" vertical="center"/>
    </xf>
    <xf numFmtId="178" fontId="20" fillId="0" borderId="0" xfId="1" applyNumberFormat="1" applyFont="1" applyAlignment="1">
      <alignment horizontal="right" vertical="top"/>
    </xf>
    <xf numFmtId="178" fontId="20" fillId="0" borderId="0" xfId="1" applyNumberFormat="1" applyFont="1" applyAlignment="1">
      <alignment horizontal="right"/>
    </xf>
    <xf numFmtId="178" fontId="36" fillId="0" borderId="19" xfId="0" applyNumberFormat="1" applyFont="1" applyBorder="1" applyAlignment="1">
      <alignment horizontal="center"/>
    </xf>
    <xf numFmtId="177" fontId="14" fillId="0" borderId="4" xfId="1" applyFont="1" applyBorder="1" applyAlignment="1" applyProtection="1">
      <alignment horizontal="center" vertical="center" wrapText="1"/>
      <protection locked="0"/>
    </xf>
    <xf numFmtId="177" fontId="14" fillId="0" borderId="4" xfId="1" applyFont="1" applyFill="1" applyBorder="1" applyAlignment="1">
      <alignment horizontal="center" vertical="center"/>
    </xf>
    <xf numFmtId="177" fontId="14" fillId="0" borderId="4" xfId="1" applyFont="1" applyBorder="1" applyAlignment="1">
      <alignment horizontal="center" vertical="center"/>
    </xf>
    <xf numFmtId="180" fontId="28" fillId="0" borderId="0" xfId="0" applyNumberFormat="1" applyFont="1" applyAlignment="1">
      <alignment horizontal="center" vertical="top"/>
    </xf>
    <xf numFmtId="183" fontId="28" fillId="0" borderId="28" xfId="0" applyNumberFormat="1" applyFont="1" applyBorder="1" applyAlignment="1">
      <alignment horizontal="center" vertical="top"/>
    </xf>
    <xf numFmtId="176" fontId="0" fillId="0" borderId="0" xfId="0" applyNumberFormat="1"/>
    <xf numFmtId="0" fontId="37" fillId="0" borderId="4" xfId="3" applyFont="1" applyBorder="1" applyAlignment="1">
      <alignment horizontal="right" vertical="center" wrapText="1"/>
    </xf>
    <xf numFmtId="176" fontId="0" fillId="0" borderId="0" xfId="9" applyFont="1"/>
    <xf numFmtId="0" fontId="14" fillId="7" borderId="4" xfId="3" applyFill="1" applyBorder="1" applyAlignment="1">
      <alignment horizontal="center" vertical="center"/>
    </xf>
    <xf numFmtId="178" fontId="19" fillId="0" borderId="5" xfId="1" applyNumberFormat="1" applyFont="1" applyFill="1" applyBorder="1" applyAlignment="1">
      <alignment horizontal="center" vertical="center"/>
    </xf>
    <xf numFmtId="177" fontId="14" fillId="7" borderId="49" xfId="1" applyFont="1" applyFill="1" applyBorder="1" applyAlignment="1" applyProtection="1">
      <alignment horizontal="center" vertical="center" wrapText="1"/>
      <protection locked="0"/>
    </xf>
    <xf numFmtId="0" fontId="14" fillId="7" borderId="51" xfId="5" applyFill="1" applyBorder="1" applyAlignment="1" applyProtection="1">
      <alignment horizontal="left" vertical="center" wrapText="1" indent="1"/>
      <protection locked="0"/>
    </xf>
    <xf numFmtId="178" fontId="14" fillId="7" borderId="49" xfId="1" applyNumberFormat="1" applyFont="1" applyFill="1" applyBorder="1" applyAlignment="1">
      <alignment horizontal="center" vertical="center"/>
    </xf>
    <xf numFmtId="14" fontId="14" fillId="7" borderId="50" xfId="4" applyNumberFormat="1" applyFill="1" applyBorder="1" applyAlignment="1">
      <alignment horizontal="center" vertical="center"/>
    </xf>
    <xf numFmtId="0" fontId="37" fillId="7" borderId="4" xfId="3" applyFont="1" applyFill="1" applyBorder="1" applyAlignment="1">
      <alignment horizontal="right" vertical="center" wrapText="1"/>
    </xf>
    <xf numFmtId="178" fontId="20" fillId="7" borderId="4" xfId="1" applyNumberFormat="1" applyFont="1" applyFill="1" applyBorder="1" applyAlignment="1">
      <alignment horizontal="center" vertical="center"/>
    </xf>
    <xf numFmtId="178" fontId="20" fillId="0" borderId="4" xfId="1" applyNumberFormat="1" applyFont="1" applyFill="1" applyBorder="1" applyAlignment="1">
      <alignment horizontal="center" vertical="center"/>
    </xf>
    <xf numFmtId="178" fontId="20" fillId="8" borderId="4" xfId="3" applyNumberFormat="1" applyFont="1" applyFill="1" applyBorder="1" applyAlignment="1">
      <alignment horizontal="right" vertical="center" wrapText="1"/>
    </xf>
    <xf numFmtId="0" fontId="14" fillId="0" borderId="4" xfId="3" applyBorder="1" applyAlignment="1">
      <alignment horizontal="center" vertical="center" wrapText="1"/>
    </xf>
    <xf numFmtId="178" fontId="14" fillId="0" borderId="42" xfId="3" applyNumberFormat="1" applyBorder="1" applyAlignment="1">
      <alignment horizontal="right" vertical="center" wrapText="1"/>
    </xf>
    <xf numFmtId="178" fontId="38" fillId="0" borderId="0" xfId="4" applyFont="1" applyAlignment="1">
      <alignment horizontal="center"/>
    </xf>
    <xf numFmtId="178" fontId="15" fillId="0" borderId="0" xfId="3" applyNumberFormat="1" applyFont="1" applyAlignment="1">
      <alignment horizontal="right" vertical="top" wrapText="1"/>
    </xf>
    <xf numFmtId="178" fontId="20" fillId="3" borderId="17" xfId="1" applyNumberFormat="1" applyFont="1" applyFill="1" applyBorder="1" applyAlignment="1">
      <alignment horizontal="center"/>
    </xf>
    <xf numFmtId="178" fontId="14" fillId="0" borderId="0" xfId="3" applyNumberFormat="1" applyAlignment="1">
      <alignment horizontal="right" wrapText="1"/>
    </xf>
    <xf numFmtId="178" fontId="14" fillId="0" borderId="0" xfId="3" applyNumberFormat="1"/>
    <xf numFmtId="178" fontId="39" fillId="8" borderId="17" xfId="3" applyNumberFormat="1" applyFont="1" applyFill="1" applyBorder="1" applyAlignment="1">
      <alignment horizontal="right" vertical="top" wrapText="1"/>
    </xf>
    <xf numFmtId="178" fontId="40" fillId="6" borderId="48" xfId="1" applyNumberFormat="1" applyFont="1" applyFill="1" applyBorder="1" applyAlignment="1">
      <alignment horizontal="center" vertical="center"/>
    </xf>
    <xf numFmtId="178" fontId="14" fillId="0" borderId="42" xfId="1" applyNumberFormat="1" applyFont="1" applyFill="1" applyBorder="1" applyAlignment="1">
      <alignment horizontal="center" vertical="center"/>
    </xf>
    <xf numFmtId="180" fontId="33" fillId="0" borderId="11" xfId="0" applyNumberFormat="1" applyFont="1" applyBorder="1"/>
    <xf numFmtId="180" fontId="33" fillId="0" borderId="12" xfId="0" applyNumberFormat="1" applyFont="1" applyBorder="1"/>
    <xf numFmtId="180" fontId="33" fillId="0" borderId="13" xfId="0" applyNumberFormat="1" applyFont="1" applyBorder="1"/>
    <xf numFmtId="180" fontId="33" fillId="0" borderId="9" xfId="0" applyNumberFormat="1" applyFont="1" applyBorder="1"/>
    <xf numFmtId="180" fontId="33" fillId="0" borderId="10" xfId="0" applyNumberFormat="1" applyFont="1" applyBorder="1"/>
    <xf numFmtId="177" fontId="14" fillId="0" borderId="4" xfId="1" applyFont="1" applyFill="1" applyBorder="1" applyAlignment="1" applyProtection="1">
      <alignment horizontal="center" vertical="center" wrapText="1"/>
      <protection locked="0"/>
    </xf>
    <xf numFmtId="178" fontId="14" fillId="0" borderId="4" xfId="5" applyNumberFormat="1" applyBorder="1" applyAlignment="1" applyProtection="1">
      <alignment horizontal="center" vertical="center" wrapText="1"/>
      <protection locked="0"/>
    </xf>
    <xf numFmtId="178" fontId="14" fillId="0" borderId="44" xfId="4" applyFill="1" applyBorder="1" applyAlignment="1">
      <alignment horizontal="center" vertical="center"/>
    </xf>
    <xf numFmtId="14" fontId="14" fillId="0" borderId="44" xfId="4" applyNumberFormat="1" applyFill="1" applyBorder="1" applyAlignment="1">
      <alignment horizontal="center" vertical="center"/>
    </xf>
    <xf numFmtId="180" fontId="33" fillId="0" borderId="14" xfId="0" applyNumberFormat="1" applyFont="1" applyBorder="1"/>
    <xf numFmtId="180" fontId="35" fillId="0" borderId="14" xfId="0" applyNumberFormat="1" applyFont="1" applyBorder="1"/>
    <xf numFmtId="14" fontId="14" fillId="0" borderId="44" xfId="1" applyNumberFormat="1" applyFont="1" applyFill="1" applyBorder="1" applyAlignment="1">
      <alignment horizontal="center" vertical="center"/>
    </xf>
    <xf numFmtId="180" fontId="35" fillId="0" borderId="13" xfId="0" applyNumberFormat="1" applyFont="1" applyBorder="1"/>
    <xf numFmtId="182" fontId="15" fillId="0" borderId="4" xfId="4" applyNumberFormat="1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9" fillId="0" borderId="0" xfId="0" applyFont="1"/>
    <xf numFmtId="179" fontId="9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wrapText="1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wrapText="1"/>
    </xf>
    <xf numFmtId="0" fontId="71" fillId="0" borderId="0" xfId="0" applyFont="1" applyAlignment="1">
      <alignment vertical="top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horizontal="center"/>
    </xf>
    <xf numFmtId="179" fontId="9" fillId="0" borderId="0" xfId="0" applyNumberFormat="1" applyFont="1" applyAlignment="1">
      <alignment horizontal="center"/>
    </xf>
    <xf numFmtId="0" fontId="72" fillId="2" borderId="18" xfId="0" applyFont="1" applyFill="1" applyBorder="1" applyAlignment="1">
      <alignment horizontal="center" vertical="top"/>
    </xf>
    <xf numFmtId="0" fontId="72" fillId="2" borderId="18" xfId="0" applyFont="1" applyFill="1" applyBorder="1" applyAlignment="1">
      <alignment horizontal="center"/>
    </xf>
    <xf numFmtId="179" fontId="72" fillId="2" borderId="19" xfId="0" applyNumberFormat="1" applyFont="1" applyFill="1" applyBorder="1" applyAlignment="1">
      <alignment horizontal="center"/>
    </xf>
    <xf numFmtId="0" fontId="73" fillId="0" borderId="26" xfId="0" applyFont="1" applyBorder="1" applyAlignment="1">
      <alignment horizontal="center" vertical="top"/>
    </xf>
    <xf numFmtId="0" fontId="9" fillId="0" borderId="27" xfId="0" applyFont="1" applyBorder="1" applyAlignment="1">
      <alignment vertical="top" wrapText="1"/>
    </xf>
    <xf numFmtId="180" fontId="3" fillId="0" borderId="28" xfId="0" applyNumberFormat="1" applyFont="1" applyBorder="1" applyAlignment="1">
      <alignment horizontal="center" vertical="top"/>
    </xf>
    <xf numFmtId="176" fontId="9" fillId="0" borderId="26" xfId="0" applyNumberFormat="1" applyFont="1" applyBorder="1" applyAlignment="1">
      <alignment horizontal="center" vertical="top"/>
    </xf>
    <xf numFmtId="176" fontId="74" fillId="0" borderId="33" xfId="0" applyNumberFormat="1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31" xfId="0" applyFont="1" applyBorder="1" applyAlignment="1">
      <alignment vertical="top" wrapText="1"/>
    </xf>
    <xf numFmtId="49" fontId="73" fillId="0" borderId="32" xfId="0" applyNumberFormat="1" applyFont="1" applyBorder="1" applyAlignment="1">
      <alignment horizontal="center" vertical="top"/>
    </xf>
    <xf numFmtId="180" fontId="73" fillId="0" borderId="32" xfId="0" applyNumberFormat="1" applyFont="1" applyBorder="1" applyAlignment="1">
      <alignment horizontal="center" vertical="top"/>
    </xf>
    <xf numFmtId="176" fontId="73" fillId="0" borderId="30" xfId="0" applyNumberFormat="1" applyFont="1" applyBorder="1" applyAlignment="1">
      <alignment horizontal="center" vertical="top"/>
    </xf>
    <xf numFmtId="180" fontId="9" fillId="0" borderId="32" xfId="0" applyNumberFormat="1" applyFont="1" applyBorder="1" applyAlignment="1">
      <alignment horizontal="center" vertical="top"/>
    </xf>
    <xf numFmtId="0" fontId="73" fillId="0" borderId="30" xfId="0" applyFont="1" applyBorder="1" applyAlignment="1">
      <alignment horizontal="center" vertical="top"/>
    </xf>
    <xf numFmtId="180" fontId="74" fillId="0" borderId="32" xfId="0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180" fontId="73" fillId="0" borderId="18" xfId="0" applyNumberFormat="1" applyFont="1" applyBorder="1" applyAlignment="1">
      <alignment horizontal="center"/>
    </xf>
    <xf numFmtId="178" fontId="74" fillId="0" borderId="19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180" fontId="73" fillId="0" borderId="11" xfId="0" applyNumberFormat="1" applyFont="1" applyBorder="1"/>
    <xf numFmtId="180" fontId="73" fillId="0" borderId="12" xfId="0" applyNumberFormat="1" applyFont="1" applyBorder="1"/>
    <xf numFmtId="180" fontId="73" fillId="0" borderId="13" xfId="0" applyNumberFormat="1" applyFont="1" applyBorder="1"/>
    <xf numFmtId="180" fontId="73" fillId="0" borderId="14" xfId="0" applyNumberFormat="1" applyFont="1" applyBorder="1"/>
    <xf numFmtId="180" fontId="75" fillId="0" borderId="13" xfId="0" applyNumberFormat="1" applyFont="1" applyBorder="1"/>
    <xf numFmtId="180" fontId="75" fillId="0" borderId="14" xfId="0" applyNumberFormat="1" applyFont="1" applyBorder="1"/>
    <xf numFmtId="180" fontId="73" fillId="0" borderId="9" xfId="0" applyNumberFormat="1" applyFont="1" applyBorder="1"/>
    <xf numFmtId="180" fontId="73" fillId="0" borderId="10" xfId="0" applyNumberFormat="1" applyFont="1" applyBorder="1"/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wrapText="1"/>
    </xf>
    <xf numFmtId="180" fontId="3" fillId="0" borderId="0" xfId="0" applyNumberFormat="1" applyFont="1" applyAlignment="1">
      <alignment horizontal="center"/>
    </xf>
    <xf numFmtId="180" fontId="3" fillId="0" borderId="11" xfId="0" applyNumberFormat="1" applyFont="1" applyBorder="1" applyAlignment="1">
      <alignment horizontal="left"/>
    </xf>
    <xf numFmtId="180" fontId="3" fillId="0" borderId="12" xfId="0" applyNumberFormat="1" applyFont="1" applyBorder="1" applyAlignment="1">
      <alignment horizontal="left"/>
    </xf>
    <xf numFmtId="180" fontId="3" fillId="0" borderId="0" xfId="0" applyNumberFormat="1" applyFont="1"/>
    <xf numFmtId="180" fontId="76" fillId="0" borderId="0" xfId="0" applyNumberFormat="1" applyFont="1" applyAlignment="1">
      <alignment horizontal="center" vertical="center"/>
    </xf>
    <xf numFmtId="180" fontId="77" fillId="0" borderId="13" xfId="0" applyNumberFormat="1" applyFont="1" applyBorder="1" applyAlignment="1">
      <alignment horizontal="center" vertical="top"/>
    </xf>
    <xf numFmtId="180" fontId="76" fillId="0" borderId="14" xfId="0" applyNumberFormat="1" applyFont="1" applyBorder="1" applyAlignment="1">
      <alignment horizontal="center" vertical="center"/>
    </xf>
    <xf numFmtId="180" fontId="76" fillId="0" borderId="0" xfId="0" applyNumberFormat="1" applyFont="1" applyAlignment="1">
      <alignment vertical="center"/>
    </xf>
    <xf numFmtId="180" fontId="9" fillId="0" borderId="13" xfId="0" applyNumberFormat="1" applyFont="1" applyBorder="1" applyAlignment="1">
      <alignment horizontal="left"/>
    </xf>
    <xf numFmtId="180" fontId="9" fillId="0" borderId="14" xfId="0" applyNumberFormat="1" applyFont="1" applyBorder="1" applyAlignment="1">
      <alignment horizontal="left"/>
    </xf>
    <xf numFmtId="180" fontId="3" fillId="0" borderId="13" xfId="0" applyNumberFormat="1" applyFont="1" applyBorder="1" applyAlignment="1">
      <alignment horizontal="left"/>
    </xf>
    <xf numFmtId="180" fontId="3" fillId="0" borderId="14" xfId="0" applyNumberFormat="1" applyFont="1" applyBorder="1" applyAlignment="1">
      <alignment horizontal="left"/>
    </xf>
    <xf numFmtId="180" fontId="9" fillId="0" borderId="0" xfId="0" applyNumberFormat="1" applyFont="1" applyAlignment="1">
      <alignment horizontal="left"/>
    </xf>
    <xf numFmtId="0" fontId="9" fillId="0" borderId="13" xfId="0" applyFont="1" applyBorder="1"/>
    <xf numFmtId="0" fontId="9" fillId="0" borderId="14" xfId="0" applyFont="1" applyBorder="1"/>
    <xf numFmtId="180" fontId="9" fillId="0" borderId="0" xfId="0" applyNumberFormat="1" applyFont="1" applyAlignment="1">
      <alignment horizontal="center"/>
    </xf>
    <xf numFmtId="180" fontId="9" fillId="0" borderId="9" xfId="0" applyNumberFormat="1" applyFont="1" applyBorder="1" applyAlignment="1">
      <alignment horizontal="left"/>
    </xf>
    <xf numFmtId="180" fontId="9" fillId="0" borderId="10" xfId="0" applyNumberFormat="1" applyFont="1" applyBorder="1" applyAlignment="1">
      <alignment horizontal="left"/>
    </xf>
    <xf numFmtId="179" fontId="3" fillId="0" borderId="0" xfId="0" applyNumberFormat="1" applyFont="1"/>
    <xf numFmtId="180" fontId="9" fillId="0" borderId="26" xfId="0" applyNumberFormat="1" applyFont="1" applyBorder="1" applyAlignment="1">
      <alignment horizontal="center" vertical="top"/>
    </xf>
    <xf numFmtId="179" fontId="9" fillId="0" borderId="29" xfId="0" applyNumberFormat="1" applyFont="1" applyBorder="1" applyAlignment="1">
      <alignment horizontal="center" vertical="top"/>
    </xf>
    <xf numFmtId="180" fontId="73" fillId="0" borderId="30" xfId="0" applyNumberFormat="1" applyFont="1" applyBorder="1" applyAlignment="1">
      <alignment horizontal="center" vertical="top"/>
    </xf>
    <xf numFmtId="0" fontId="9" fillId="0" borderId="34" xfId="0" applyFont="1" applyBorder="1" applyAlignment="1">
      <alignment horizontal="center" vertical="top"/>
    </xf>
    <xf numFmtId="0" fontId="9" fillId="0" borderId="35" xfId="0" applyFont="1" applyBorder="1" applyAlignment="1">
      <alignment wrapText="1"/>
    </xf>
    <xf numFmtId="49" fontId="9" fillId="0" borderId="36" xfId="0" applyNumberFormat="1" applyFont="1" applyBorder="1" applyAlignment="1">
      <alignment horizontal="center"/>
    </xf>
    <xf numFmtId="180" fontId="9" fillId="0" borderId="36" xfId="0" applyNumberFormat="1" applyFont="1" applyBorder="1" applyAlignment="1">
      <alignment horizontal="center"/>
    </xf>
    <xf numFmtId="180" fontId="9" fillId="0" borderId="37" xfId="0" applyNumberFormat="1" applyFont="1" applyBorder="1" applyAlignment="1">
      <alignment horizontal="center"/>
    </xf>
    <xf numFmtId="180" fontId="9" fillId="0" borderId="34" xfId="0" applyNumberFormat="1" applyFont="1" applyBorder="1" applyAlignment="1">
      <alignment horizontal="center"/>
    </xf>
    <xf numFmtId="179" fontId="9" fillId="0" borderId="37" xfId="0" applyNumberFormat="1" applyFont="1" applyBorder="1" applyAlignment="1">
      <alignment horizontal="center"/>
    </xf>
    <xf numFmtId="178" fontId="73" fillId="0" borderId="19" xfId="0" applyNumberFormat="1" applyFont="1" applyBorder="1" applyAlignment="1">
      <alignment horizontal="center"/>
    </xf>
    <xf numFmtId="176" fontId="9" fillId="0" borderId="29" xfId="0" applyNumberFormat="1" applyFont="1" applyBorder="1" applyAlignment="1">
      <alignment horizontal="center" vertical="top"/>
    </xf>
    <xf numFmtId="176" fontId="9" fillId="0" borderId="33" xfId="0" applyNumberFormat="1" applyFont="1" applyBorder="1" applyAlignment="1">
      <alignment horizontal="center" vertical="top"/>
    </xf>
    <xf numFmtId="49" fontId="9" fillId="0" borderId="32" xfId="0" applyNumberFormat="1" applyFont="1" applyBorder="1" applyAlignment="1">
      <alignment horizontal="center" vertical="top"/>
    </xf>
    <xf numFmtId="176" fontId="9" fillId="0" borderId="30" xfId="0" applyNumberFormat="1" applyFont="1" applyBorder="1" applyAlignment="1">
      <alignment horizontal="center" vertical="top"/>
    </xf>
    <xf numFmtId="176" fontId="9" fillId="0" borderId="34" xfId="0" applyNumberFormat="1" applyFont="1" applyBorder="1" applyAlignment="1">
      <alignment horizontal="center"/>
    </xf>
    <xf numFmtId="176" fontId="9" fillId="0" borderId="37" xfId="0" applyNumberFormat="1" applyFont="1" applyBorder="1" applyAlignment="1">
      <alignment horizontal="center"/>
    </xf>
    <xf numFmtId="178" fontId="14" fillId="0" borderId="20" xfId="4" applyBorder="1" applyAlignment="1">
      <alignment horizontal="center" vertical="center"/>
    </xf>
    <xf numFmtId="0" fontId="15" fillId="3" borderId="42" xfId="3" applyFont="1" applyFill="1" applyBorder="1" applyAlignment="1">
      <alignment vertical="top"/>
    </xf>
    <xf numFmtId="0" fontId="15" fillId="30" borderId="42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5" fillId="4" borderId="64" xfId="3" applyFont="1" applyFill="1" applyBorder="1" applyAlignment="1">
      <alignment vertical="top"/>
    </xf>
    <xf numFmtId="0" fontId="41" fillId="0" borderId="4" xfId="3" applyFont="1" applyBorder="1" applyAlignment="1">
      <alignment horizontal="center" vertical="center"/>
    </xf>
    <xf numFmtId="0" fontId="20" fillId="0" borderId="19" xfId="3" applyFont="1" applyBorder="1" applyAlignment="1">
      <alignment horizontal="center" vertical="center" wrapText="1"/>
    </xf>
    <xf numFmtId="0" fontId="20" fillId="0" borderId="24" xfId="3" applyFont="1" applyBorder="1" applyAlignment="1">
      <alignment horizontal="center" vertical="center" wrapText="1"/>
    </xf>
    <xf numFmtId="0" fontId="20" fillId="0" borderId="24" xfId="4" applyNumberFormat="1" applyFont="1" applyBorder="1" applyAlignment="1">
      <alignment horizontal="center" vertical="center" wrapText="1"/>
    </xf>
    <xf numFmtId="0" fontId="20" fillId="0" borderId="47" xfId="4" applyNumberFormat="1" applyFont="1" applyBorder="1" applyAlignment="1">
      <alignment horizontal="center" vertical="center" wrapText="1"/>
    </xf>
    <xf numFmtId="182" fontId="20" fillId="0" borderId="47" xfId="4" applyNumberFormat="1" applyFont="1" applyBorder="1" applyAlignment="1">
      <alignment horizontal="center" vertical="center" wrapText="1"/>
    </xf>
    <xf numFmtId="178" fontId="20" fillId="5" borderId="40" xfId="4" applyFont="1" applyFill="1" applyBorder="1" applyAlignment="1">
      <alignment horizontal="center" vertical="top"/>
    </xf>
    <xf numFmtId="178" fontId="78" fillId="5" borderId="43" xfId="4" applyFont="1" applyFill="1" applyBorder="1" applyAlignment="1">
      <alignment horizontal="center" vertical="top"/>
    </xf>
    <xf numFmtId="178" fontId="40" fillId="5" borderId="43" xfId="4" applyFont="1" applyFill="1" applyBorder="1" applyAlignment="1">
      <alignment horizontal="center" vertical="top"/>
    </xf>
    <xf numFmtId="0" fontId="20" fillId="0" borderId="38" xfId="3" applyFont="1" applyBorder="1" applyAlignment="1">
      <alignment vertical="top"/>
    </xf>
    <xf numFmtId="0" fontId="20" fillId="0" borderId="39" xfId="3" applyFont="1" applyBorder="1" applyAlignment="1">
      <alignment vertical="top"/>
    </xf>
    <xf numFmtId="0" fontId="78" fillId="0" borderId="39" xfId="4" applyNumberFormat="1" applyFont="1" applyBorder="1" applyAlignment="1">
      <alignment horizontal="right" vertical="top"/>
    </xf>
    <xf numFmtId="0" fontId="20" fillId="0" borderId="41" xfId="3" applyFont="1" applyBorder="1" applyAlignment="1">
      <alignment vertical="top"/>
    </xf>
    <xf numFmtId="0" fontId="20" fillId="0" borderId="42" xfId="3" applyFont="1" applyBorder="1" applyAlignment="1">
      <alignment vertical="top"/>
    </xf>
    <xf numFmtId="0" fontId="78" fillId="0" borderId="42" xfId="4" applyNumberFormat="1" applyFont="1" applyBorder="1" applyAlignment="1">
      <alignment horizontal="right" vertical="top"/>
    </xf>
    <xf numFmtId="0" fontId="20" fillId="0" borderId="44" xfId="3" applyFont="1" applyBorder="1" applyAlignment="1">
      <alignment horizontal="right" vertical="top"/>
    </xf>
    <xf numFmtId="0" fontId="20" fillId="0" borderId="42" xfId="3" applyFont="1" applyBorder="1" applyAlignment="1">
      <alignment horizontal="right" vertical="top"/>
    </xf>
    <xf numFmtId="0" fontId="20" fillId="0" borderId="0" xfId="3" applyFont="1" applyAlignment="1">
      <alignment horizontal="right" vertical="center"/>
    </xf>
    <xf numFmtId="0" fontId="20" fillId="0" borderId="0" xfId="3" applyFont="1" applyAlignment="1">
      <alignment horizontal="left" vertical="center" wrapText="1"/>
    </xf>
    <xf numFmtId="0" fontId="20" fillId="0" borderId="0" xfId="3" applyFont="1" applyAlignment="1">
      <alignment vertical="center" wrapText="1"/>
    </xf>
    <xf numFmtId="176" fontId="0" fillId="0" borderId="0" xfId="9" applyFont="1" applyFill="1"/>
    <xf numFmtId="0" fontId="28" fillId="0" borderId="31" xfId="0" applyFont="1" applyBorder="1" applyAlignment="1">
      <alignment vertical="top" wrapText="1"/>
    </xf>
    <xf numFmtId="0" fontId="79" fillId="0" borderId="51" xfId="5" applyFont="1" applyBorder="1" applyAlignment="1" applyProtection="1">
      <alignment horizontal="left" vertical="center" wrapText="1" indent="1"/>
      <protection locked="0"/>
    </xf>
    <xf numFmtId="0" fontId="79" fillId="0" borderId="41" xfId="5" applyFont="1" applyBorder="1" applyAlignment="1" applyProtection="1">
      <alignment horizontal="left" vertical="center" wrapText="1" indent="1"/>
      <protection locked="0"/>
    </xf>
    <xf numFmtId="0" fontId="79" fillId="0" borderId="3" xfId="5" applyFont="1" applyBorder="1" applyAlignment="1" applyProtection="1">
      <alignment horizontal="left" vertical="center" wrapText="1" indent="1"/>
      <protection locked="0"/>
    </xf>
    <xf numFmtId="0" fontId="80" fillId="0" borderId="20" xfId="5" applyFont="1" applyBorder="1" applyAlignment="1" applyProtection="1">
      <alignment horizontal="left" vertical="center" wrapText="1" indent="1"/>
      <protection locked="0"/>
    </xf>
    <xf numFmtId="0" fontId="80" fillId="0" borderId="3" xfId="5" applyFont="1" applyBorder="1" applyAlignment="1" applyProtection="1">
      <alignment horizontal="left" vertical="center" wrapText="1" indent="1"/>
      <protection locked="0"/>
    </xf>
    <xf numFmtId="0" fontId="3" fillId="0" borderId="27" xfId="0" applyFont="1" applyBorder="1" applyAlignment="1">
      <alignment vertical="top" wrapText="1"/>
    </xf>
    <xf numFmtId="0" fontId="73" fillId="0" borderId="65" xfId="0" applyFont="1" applyBorder="1" applyAlignment="1">
      <alignment horizontal="center" vertical="top"/>
    </xf>
    <xf numFmtId="0" fontId="3" fillId="0" borderId="66" xfId="0" applyFont="1" applyBorder="1" applyAlignment="1">
      <alignment vertical="top" wrapText="1"/>
    </xf>
    <xf numFmtId="180" fontId="3" fillId="0" borderId="67" xfId="0" applyNumberFormat="1" applyFont="1" applyBorder="1" applyAlignment="1">
      <alignment horizontal="center" vertical="top"/>
    </xf>
    <xf numFmtId="180" fontId="9" fillId="0" borderId="65" xfId="0" applyNumberFormat="1" applyFont="1" applyBorder="1" applyAlignment="1">
      <alignment horizontal="center" vertical="top"/>
    </xf>
    <xf numFmtId="179" fontId="9" fillId="0" borderId="68" xfId="0" applyNumberFormat="1" applyFont="1" applyBorder="1" applyAlignment="1">
      <alignment horizontal="center" vertical="top"/>
    </xf>
    <xf numFmtId="0" fontId="3" fillId="0" borderId="31" xfId="0" applyFont="1" applyBorder="1" applyAlignment="1">
      <alignment vertical="top" wrapText="1"/>
    </xf>
    <xf numFmtId="176" fontId="9" fillId="0" borderId="65" xfId="0" applyNumberFormat="1" applyFont="1" applyBorder="1" applyAlignment="1">
      <alignment horizontal="center" vertical="top"/>
    </xf>
    <xf numFmtId="176" fontId="9" fillId="0" borderId="68" xfId="0" applyNumberFormat="1" applyFont="1" applyBorder="1" applyAlignment="1">
      <alignment horizontal="center" vertical="top"/>
    </xf>
    <xf numFmtId="0" fontId="9" fillId="0" borderId="66" xfId="0" applyFont="1" applyBorder="1" applyAlignment="1">
      <alignment vertical="top" wrapText="1"/>
    </xf>
    <xf numFmtId="180" fontId="77" fillId="0" borderId="69" xfId="0" applyNumberFormat="1" applyFont="1" applyBorder="1" applyAlignment="1">
      <alignment horizontal="center" vertical="top"/>
    </xf>
    <xf numFmtId="186" fontId="14" fillId="0" borderId="20" xfId="5" applyNumberFormat="1" applyBorder="1" applyAlignment="1" applyProtection="1">
      <alignment horizontal="center" vertical="center" wrapText="1"/>
      <protection locked="0"/>
    </xf>
    <xf numFmtId="186" fontId="14" fillId="0" borderId="3" xfId="5" applyNumberFormat="1" applyBorder="1" applyAlignment="1" applyProtection="1">
      <alignment horizontal="center" vertical="center" wrapText="1"/>
      <protection locked="0"/>
    </xf>
    <xf numFmtId="0" fontId="39" fillId="3" borderId="42" xfId="3" applyFont="1" applyFill="1" applyBorder="1" applyAlignment="1">
      <alignment vertical="top"/>
    </xf>
    <xf numFmtId="0" fontId="39" fillId="7" borderId="42" xfId="3" applyFont="1" applyFill="1" applyBorder="1" applyAlignment="1">
      <alignment vertical="top"/>
    </xf>
    <xf numFmtId="0" fontId="39" fillId="3" borderId="42" xfId="3" applyFont="1" applyFill="1" applyBorder="1" applyAlignment="1">
      <alignment vertical="top" wrapText="1"/>
    </xf>
    <xf numFmtId="0" fontId="75" fillId="0" borderId="26" xfId="0" applyFont="1" applyBorder="1" applyAlignment="1">
      <alignment horizontal="center" vertical="top"/>
    </xf>
    <xf numFmtId="0" fontId="73" fillId="0" borderId="0" xfId="0" applyFont="1"/>
    <xf numFmtId="0" fontId="75" fillId="0" borderId="0" xfId="0" applyFont="1" applyAlignment="1">
      <alignment horizontal="center"/>
    </xf>
    <xf numFmtId="0" fontId="73" fillId="0" borderId="0" xfId="0" applyFont="1" applyAlignment="1">
      <alignment horizontal="right" wrapText="1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180" fontId="75" fillId="0" borderId="28" xfId="0" applyNumberFormat="1" applyFont="1" applyBorder="1" applyAlignment="1">
      <alignment horizontal="center" vertical="top"/>
    </xf>
    <xf numFmtId="0" fontId="73" fillId="0" borderId="0" xfId="0" applyFont="1" applyAlignment="1">
      <alignment wrapText="1"/>
    </xf>
    <xf numFmtId="180" fontId="73" fillId="0" borderId="0" xfId="0" applyNumberFormat="1" applyFont="1" applyAlignment="1">
      <alignment horizontal="left"/>
    </xf>
    <xf numFmtId="180" fontId="73" fillId="0" borderId="0" xfId="0" applyNumberFormat="1" applyFont="1" applyAlignment="1">
      <alignment horizontal="center"/>
    </xf>
    <xf numFmtId="180" fontId="75" fillId="0" borderId="7" xfId="0" applyNumberFormat="1" applyFont="1" applyBorder="1" applyAlignment="1">
      <alignment horizontal="right"/>
    </xf>
    <xf numFmtId="180" fontId="75" fillId="0" borderId="8" xfId="0" applyNumberFormat="1" applyFont="1" applyBorder="1" applyAlignment="1">
      <alignment horizontal="right"/>
    </xf>
    <xf numFmtId="18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2" fillId="2" borderId="25" xfId="0" applyFont="1" applyFill="1" applyBorder="1" applyAlignment="1">
      <alignment horizontal="center" wrapText="1"/>
    </xf>
    <xf numFmtId="0" fontId="72" fillId="2" borderId="16" xfId="0" applyFont="1" applyFill="1" applyBorder="1" applyAlignment="1">
      <alignment horizontal="center" wrapText="1"/>
    </xf>
    <xf numFmtId="0" fontId="72" fillId="2" borderId="8" xfId="0" applyFont="1" applyFill="1" applyBorder="1" applyAlignment="1">
      <alignment horizontal="center" wrapText="1"/>
    </xf>
    <xf numFmtId="180" fontId="35" fillId="0" borderId="7" xfId="0" applyNumberFormat="1" applyFont="1" applyBorder="1" applyAlignment="1">
      <alignment horizontal="right"/>
    </xf>
    <xf numFmtId="180" fontId="35" fillId="0" borderId="8" xfId="0" applyNumberFormat="1" applyFont="1" applyBorder="1" applyAlignment="1">
      <alignment horizontal="right"/>
    </xf>
    <xf numFmtId="180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15" xfId="0" applyFont="1" applyBorder="1" applyAlignment="1">
      <alignment horizontal="center"/>
    </xf>
    <xf numFmtId="0" fontId="30" fillId="2" borderId="25" xfId="0" applyFont="1" applyFill="1" applyBorder="1" applyAlignment="1">
      <alignment horizontal="center" wrapText="1"/>
    </xf>
    <xf numFmtId="0" fontId="30" fillId="2" borderId="16" xfId="0" applyFont="1" applyFill="1" applyBorder="1" applyAlignment="1">
      <alignment horizontal="center" wrapText="1"/>
    </xf>
    <xf numFmtId="0" fontId="30" fillId="2" borderId="8" xfId="0" applyFont="1" applyFill="1" applyBorder="1" applyAlignment="1">
      <alignment horizontal="center" wrapText="1"/>
    </xf>
    <xf numFmtId="0" fontId="14" fillId="31" borderId="4" xfId="3" applyFill="1" applyBorder="1" applyAlignment="1">
      <alignment horizontal="right" vertical="top"/>
    </xf>
  </cellXfs>
  <cellStyles count="108">
    <cellStyle name="20% - Accent1 2" xfId="11" xr:uid="{A6828A1E-10B5-4AEC-B3EF-A3B268B11E0A}"/>
    <cellStyle name="20% - Accent2 2" xfId="12" xr:uid="{D0C51721-D385-4608-8C47-1F1156A07E1F}"/>
    <cellStyle name="20% - Accent3 2" xfId="13" xr:uid="{67D55C84-1920-4EAB-8959-580D4CA2199D}"/>
    <cellStyle name="20% - Accent4 2" xfId="14" xr:uid="{745400D9-94BB-4A74-A530-87E1204ABDEA}"/>
    <cellStyle name="20% - Accent5 2" xfId="15" xr:uid="{046AC678-C294-4083-9555-D37F6BB9E63F}"/>
    <cellStyle name="20% - Accent6 2" xfId="16" xr:uid="{DA5237AB-6DDD-410A-9F9D-F542EAC87E22}"/>
    <cellStyle name="40% - Accent1 2" xfId="17" xr:uid="{14EA5B8F-068C-404B-A3B6-4C0BB1B8DA7E}"/>
    <cellStyle name="40% - Accent2 2" xfId="18" xr:uid="{3EB2B2E4-877A-4F7D-B943-CCAAD27B32C4}"/>
    <cellStyle name="40% - Accent3 2" xfId="19" xr:uid="{7A79F242-6938-4D23-ACFE-F5A2F4A8BBB0}"/>
    <cellStyle name="40% - Accent4 2" xfId="20" xr:uid="{9D423A9F-BE6E-4CCA-8357-D4287E332D80}"/>
    <cellStyle name="40% - Accent5 2" xfId="21" xr:uid="{BD36C489-6D7F-4221-937B-26628E737CD8}"/>
    <cellStyle name="40% - Accent6 2" xfId="22" xr:uid="{669EEC9E-1B28-42D8-B5C2-4CB3B57F32A5}"/>
    <cellStyle name="60% - Accent1 2" xfId="23" xr:uid="{BFA10FF9-5D1F-4363-8807-1C92603C008B}"/>
    <cellStyle name="60% - Accent2 2" xfId="24" xr:uid="{A875BA17-625E-474B-BC0A-BC46FB2E3E95}"/>
    <cellStyle name="60% - Accent3 2" xfId="25" xr:uid="{0CD2FE23-9350-4D6C-AF46-F821BF69EB70}"/>
    <cellStyle name="60% - Accent4 2" xfId="26" xr:uid="{06A8FD83-33A3-4F59-AADE-DB952C03F626}"/>
    <cellStyle name="60% - Accent5 2" xfId="27" xr:uid="{53C0A24B-8D3B-47A7-A4D7-C2905CFFC389}"/>
    <cellStyle name="60% - Accent6 2" xfId="28" xr:uid="{FF20CE3B-DB2B-4B20-807D-A2FB91660443}"/>
    <cellStyle name="Accent1 2" xfId="29" xr:uid="{42EF90C1-8106-40E4-ACAB-02E829F85FBE}"/>
    <cellStyle name="Accent2 2" xfId="30" xr:uid="{831827CE-851F-41C2-875D-04CE358D9E48}"/>
    <cellStyle name="Accent3 2" xfId="31" xr:uid="{44FC39EB-C069-4B3C-9F20-E6D0344DCF78}"/>
    <cellStyle name="Accent4 2" xfId="32" xr:uid="{B7314D9A-3EE1-4293-9358-55B9F74E63D1}"/>
    <cellStyle name="Accent5 2" xfId="33" xr:uid="{226D7802-7223-4651-B823-B62F6E40B489}"/>
    <cellStyle name="Accent6 2" xfId="34" xr:uid="{531F8A01-4254-44A6-A8EE-A7AE405404B8}"/>
    <cellStyle name="Bad 2" xfId="35" xr:uid="{FEBEEF4D-A2C7-41B2-A1A1-FF213259D434}"/>
    <cellStyle name="Calculation 2" xfId="98" xr:uid="{82BACB14-7568-45BB-8722-2172091CCA1A}"/>
    <cellStyle name="Calculation 3" xfId="36" xr:uid="{149964E4-9AD6-4B65-8475-B31A6BA022DD}"/>
    <cellStyle name="Check Cell 2" xfId="62" xr:uid="{176740C8-5032-40BF-B53E-9CA55346F899}"/>
    <cellStyle name="Check Cell 3" xfId="37" xr:uid="{44304463-3E8B-441A-9C09-E14E41C6E141}"/>
    <cellStyle name="Comma 2" xfId="66" xr:uid="{5030327F-11B8-45E2-8E7C-2338389185CF}"/>
    <cellStyle name="Comma 3" xfId="59" xr:uid="{763FE098-6644-425E-90A3-ABB68C3CD836}"/>
    <cellStyle name="Currency 2" xfId="4" xr:uid="{00000000-0005-0000-0000-000001000000}"/>
    <cellStyle name="Currency 2 2" xfId="68" xr:uid="{BC135D02-2A6C-40DB-88F4-1B87A6954DF3}"/>
    <cellStyle name="Currency 2 3" xfId="6" xr:uid="{00000000-0005-0000-0000-000002000000}"/>
    <cellStyle name="Currency 2 4" xfId="53" xr:uid="{73DDF917-0BFF-4ABF-BA6E-F2FA619F9128}"/>
    <cellStyle name="Currency 3" xfId="7" xr:uid="{00000000-0005-0000-0000-000003000000}"/>
    <cellStyle name="Currency 3 2" xfId="67" xr:uid="{345B3BF8-3814-4600-90C6-4D60216A99AC}"/>
    <cellStyle name="Currency 4" xfId="60" xr:uid="{C6CC4901-3FBA-4AF2-9527-22F1297B2863}"/>
    <cellStyle name="Currency 5" xfId="57" xr:uid="{9C018DB0-6092-48EF-8325-ED8ECF226CEB}"/>
    <cellStyle name="Explanatory Text 2" xfId="38" xr:uid="{4D81CB66-6E1C-4389-A2DF-CCE15BDCB37C}"/>
    <cellStyle name="Good 2" xfId="39" xr:uid="{D1EFD5EC-E25D-4F74-BF09-B72F53549613}"/>
    <cellStyle name="Heading 1 2" xfId="40" xr:uid="{3569D298-8B1D-4EBF-BBF4-2D891ED953A6}"/>
    <cellStyle name="Heading 2 2" xfId="41" xr:uid="{A43C95E4-94D5-4C15-A1E2-4DF852381C04}"/>
    <cellStyle name="Heading 3 2" xfId="42" xr:uid="{5B5B2C5B-FDC4-4038-B8C1-9F17B083CF4C}"/>
    <cellStyle name="Heading 4 2" xfId="43" xr:uid="{A885CE4A-B0F6-486D-9AE0-09371B7D7FEB}"/>
    <cellStyle name="Hyperlink 2" xfId="69" xr:uid="{B27C0DD4-A420-46AC-92D3-C4C2DF20CCDD}"/>
    <cellStyle name="Hyperlink 3" xfId="70" xr:uid="{062696E8-E29F-4799-9A62-1828E9306CF1}"/>
    <cellStyle name="Hyperlink 4" xfId="71" xr:uid="{AFCF94A0-F0CA-4A35-A4DB-043A116B654D}"/>
    <cellStyle name="Hyperlink 4 2" xfId="72" xr:uid="{DAACB40B-7812-41D8-997C-E1E97F2AC80A}"/>
    <cellStyle name="Hyperlink 4 3" xfId="73" xr:uid="{D99E1A37-160D-444D-B54D-8A9A33D3E2B3}"/>
    <cellStyle name="Hyperlink 5" xfId="74" xr:uid="{5C35097B-84F0-4658-9132-9F9EBEBCB83B}"/>
    <cellStyle name="Input 2" xfId="61" xr:uid="{AC0E68FF-0FF5-460B-B703-C33A1188CF87}"/>
    <cellStyle name="Input 3" xfId="44" xr:uid="{50611ED0-6AC3-42A9-A180-3DBDF85CA106}"/>
    <cellStyle name="Linked Cell 2" xfId="83" xr:uid="{31A1A951-6EB8-49C5-B454-3809189EA547}"/>
    <cellStyle name="Linked Cell 3" xfId="45" xr:uid="{94159200-59B6-4AFA-A88E-6B70B9C3F3A1}"/>
    <cellStyle name="Neutral 2" xfId="46" xr:uid="{11591923-7A8C-4ABB-B928-2267AA952985}"/>
    <cellStyle name="NonZeroInt" xfId="75" xr:uid="{43AFC064-A71D-4E2A-A2C1-059F5AD875CB}"/>
    <cellStyle name="Normal - Style1" xfId="76" xr:uid="{66887DD7-A2C7-4982-A9B0-BD110E981E39}"/>
    <cellStyle name="Normal 10" xfId="89" xr:uid="{CA6B74EC-602D-4AE4-8985-63B9E5D7AC24}"/>
    <cellStyle name="Normal 11" xfId="90" xr:uid="{69DC42BB-062C-44F2-A024-92E96550FF7F}"/>
    <cellStyle name="Normal 12" xfId="91" xr:uid="{46D426A1-7024-4BDE-9E1E-229B0E256ED5}"/>
    <cellStyle name="Normal 13" xfId="92" xr:uid="{A1BC4662-4C56-40F0-B8F2-39B2AC8FC3A6}"/>
    <cellStyle name="Normal 14" xfId="93" xr:uid="{74037198-64EE-4666-8C7E-D7202F951FE1}"/>
    <cellStyle name="Normal 15" xfId="94" xr:uid="{5033F5EC-89C4-4B65-895B-80939FCB5983}"/>
    <cellStyle name="Normal 16" xfId="95" xr:uid="{8F3BEB31-01B3-4306-A8AF-5625C59D8DD5}"/>
    <cellStyle name="Normal 17" xfId="96" xr:uid="{4C38E29A-23B1-4599-BE36-BFB1BBBD6C7D}"/>
    <cellStyle name="Normal 18" xfId="97" xr:uid="{8E11E82D-180C-483D-9559-11E0808FD8FF}"/>
    <cellStyle name="Normal 19" xfId="99" xr:uid="{9C8B95E1-F822-409C-9295-13F2A423E775}"/>
    <cellStyle name="Normal 2" xfId="52" xr:uid="{97D9236D-7C71-452B-973C-E1ABC0975820}"/>
    <cellStyle name="Normal 2 2" xfId="56" xr:uid="{6B238ACE-5733-4C4C-995C-5F52DB1E3CB0}"/>
    <cellStyle name="Normal 2 3" xfId="88" xr:uid="{C6CFE33F-3F1D-43B2-8787-17EDF4158703}"/>
    <cellStyle name="Normal 20" xfId="100" xr:uid="{F2F33023-27DB-4539-9983-3B79B77CFA9D}"/>
    <cellStyle name="Normal 21" xfId="101" xr:uid="{5A4557AA-FE50-4A95-B982-6EA895363CB8}"/>
    <cellStyle name="Normal 22" xfId="102" xr:uid="{89E7565E-AFD7-4F7C-919D-CDBE84F64811}"/>
    <cellStyle name="Normal 23" xfId="103" xr:uid="{02372A96-B303-4BB3-88ED-7A271B8C13B5}"/>
    <cellStyle name="Normal 24" xfId="58" xr:uid="{A3C7B192-C793-4D96-A7D6-673B57FD63ED}"/>
    <cellStyle name="Normal 25" xfId="104" xr:uid="{68E5B853-B0AA-498C-B699-57DFD3BB338F}"/>
    <cellStyle name="Normal 26" xfId="105" xr:uid="{34B465B4-A010-4BEF-B1EA-E0B7445E7E81}"/>
    <cellStyle name="Normal 27" xfId="106" xr:uid="{CCB75015-3E96-4945-A68F-3F98460483D0}"/>
    <cellStyle name="Normal 28" xfId="10" xr:uid="{1FF6E339-3F35-4D7B-9A7F-B56463674E6A}"/>
    <cellStyle name="Normal 29" xfId="54" xr:uid="{37D2D4B8-D493-4471-A476-E2BAD02CB2B8}"/>
    <cellStyle name="Normal 3" xfId="2" xr:uid="{00000000-0005-0000-0000-000005000000}"/>
    <cellStyle name="Normal 3 2" xfId="77" xr:uid="{4E8D5B20-0223-413B-A61C-E6BEBD7EB4C8}"/>
    <cellStyle name="Normal 30" xfId="107" xr:uid="{2894AE72-0091-406D-8527-DFAD5BC0AD83}"/>
    <cellStyle name="Normal 4" xfId="5" xr:uid="{00000000-0005-0000-0000-000006000000}"/>
    <cellStyle name="Normal 4 2" xfId="79" xr:uid="{58FFBEE8-77EB-4757-B46F-2E52ADB7300C}"/>
    <cellStyle name="Normal 4 2 2" xfId="80" xr:uid="{EC5D9B1A-998B-4953-8390-0DDA03817036}"/>
    <cellStyle name="Normal 4 3" xfId="78" xr:uid="{850D5BA4-AC01-45BB-A92F-C4ADF379E156}"/>
    <cellStyle name="Normal 5" xfId="81" xr:uid="{74ED979C-4142-4853-9DA9-8B501715838C}"/>
    <cellStyle name="Normal 6" xfId="65" xr:uid="{6C62F632-B08A-4FC5-BF1C-EE47CFF3DB1E}"/>
    <cellStyle name="Normal 7" xfId="84" xr:uid="{064739CE-2466-4435-B2BF-435687787C1F}"/>
    <cellStyle name="Normal 8" xfId="85" xr:uid="{6A868D8A-8694-4BFC-9EB1-209E25424FFA}"/>
    <cellStyle name="Normal 9" xfId="87" xr:uid="{79676C22-4F97-4F46-B43A-86B1C2A96DA6}"/>
    <cellStyle name="Normal_New COR Log_1" xfId="3" xr:uid="{00000000-0005-0000-0000-000007000000}"/>
    <cellStyle name="Note 2" xfId="47" xr:uid="{66188548-8476-4F90-9F9F-A47DE4B0C0D9}"/>
    <cellStyle name="Output 2" xfId="48" xr:uid="{521FC102-6D9E-4D31-871F-F54687C05EEF}"/>
    <cellStyle name="Percent 2" xfId="8" xr:uid="{00000000-0005-0000-0000-000008000000}"/>
    <cellStyle name="Percent 2 2" xfId="82" xr:uid="{484307F8-4880-4EB8-B1CB-2CF00928677E}"/>
    <cellStyle name="Percent 2 3" xfId="55" xr:uid="{16E9993F-6789-4984-88F6-C259E8681DC3}"/>
    <cellStyle name="Percent 3" xfId="86" xr:uid="{C9B38FF8-11B2-4387-A1E1-3BFC43C7D692}"/>
    <cellStyle name="PLUG" xfId="63" xr:uid="{A3CDA10B-5230-4389-B6B5-191CC2AF2747}"/>
    <cellStyle name="RENASCENT PLUG" xfId="64" xr:uid="{FC291A60-0AC5-4875-807F-A4738DBA3B88}"/>
    <cellStyle name="Title 2" xfId="49" xr:uid="{703781F5-4A74-4AB3-A1F6-1B6065F449E2}"/>
    <cellStyle name="Total 2" xfId="50" xr:uid="{A0A12C68-1622-4817-BC20-FFE648840A9E}"/>
    <cellStyle name="Warning Text 2" xfId="51" xr:uid="{5F476C8A-91EE-4221-8303-12037533C83F}"/>
    <cellStyle name="常规" xfId="0" builtinId="0"/>
    <cellStyle name="货币" xfId="1" builtinId="4"/>
    <cellStyle name="千位分隔" xfId="9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CA4FD.7FF4E7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4CDA4163-4F4A-4DEA-85A2-0316AF06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329E9428-49BC-4F3A-90BE-9011E9990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61F00764-C20E-4F2B-851B-25B39BA05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FE984996-0AEE-416C-B4B5-9F6C1180D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D4356B3F-D257-433B-9F12-760885478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EAE045E2-AD65-4B36-A04D-636213DFD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56598032-6197-4947-9FD9-E4A9C43D1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260768EA-029B-4551-8A44-FDBC4693F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B250A66B-2B69-425D-B811-09C75830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51D732C1-1318-4A73-85E4-2CE8C54F4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CC9FDD54-44EA-490E-9972-C1EEE784C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9A44023E-87F7-4E49-A5E0-9E68DBD5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6FB59233-01FC-4889-B46F-EB421C679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5FF0192B-5030-4E17-9676-D18308761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63975061-6F1F-4410-A89F-ECF055D9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0F8B26FD-CC15-4CC4-B618-6EC12748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CF2B8314-520A-492F-84B6-F5AA9BA1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A2A2EAE5-CA25-42AC-99D4-E8C62C8DB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866C6882-878E-464D-A048-367E7C8D1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24508FCB-A43B-4825-A8B0-D2721BCD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C6D3E9E5-8071-4EBD-9DDE-A59E63EBC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646159EC-4DDB-451C-9424-B8EC7C0B1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524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F37E0EF6-9844-4B71-B41A-1F810DE4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524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3DECA675-53C0-46F1-9D79-A6287960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5240"/>
          <a:ext cx="2000250" cy="67932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8B13C3BB-9E35-421E-B3FE-72767C17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045A8B2F-39F1-41DF-9005-3C7CCB27B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C77E3223-244B-4353-BD29-56C96E540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13</xdr:row>
      <xdr:rowOff>0</xdr:rowOff>
    </xdr:from>
    <xdr:to>
      <xdr:col>1</xdr:col>
      <xdr:colOff>3740150</xdr:colOff>
      <xdr:row>13</xdr:row>
      <xdr:rowOff>1822450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134C76-1C62-4B9A-37D8-AB6CBD35D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850" y="2571750"/>
          <a:ext cx="3740150" cy="182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41BAE28E-ED62-44B1-8461-2FB9F7527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A3612906-F932-4EA7-B2D0-6C1B3A8F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4D0E3DF5-935A-41CB-9DBC-D1E70846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5AE9FE29-FACF-4D2A-8246-C533EC3A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2077BDDD-EFEE-4366-BA49-91ECD0B0C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C006F3C0-1A85-4D13-A6B2-958E512D9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DA0F1313-9C50-4A42-94EC-C2FD9CFD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D75625F2-4D06-477A-8E29-3C1BDB63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26E307A3-B5E0-473A-85C0-382DAD924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3421F183-693A-4ECF-AD6C-98E30763E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073B20AD-A0AF-4FC5-95F1-13F99BB5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3E439391-BC34-496B-90F9-E3B7C0F2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EA30957B-95B3-41BA-B102-563DCB99E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185C3E1C-0F4C-4A58-9125-C99C8905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8ABE57CE-B987-42F0-8B99-3584CB7B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7014B43C-272D-466E-BFA6-F27971ADF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95689374-6B8A-4F46-A414-796A0F1F0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58C39141-C350-4FA9-BAA0-653510816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D793DD01-776D-4AA9-B6FD-7B9E472DF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0D2D71F0-28EE-43D9-A673-32545C25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FF597986-E2B9-497A-AFAE-764B55D8C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2" name="Picture 1">
          <a:extLst>
            <a:ext uri="{FF2B5EF4-FFF2-40B4-BE49-F238E27FC236}">
              <a16:creationId xmlns:a16="http://schemas.microsoft.com/office/drawing/2014/main" id="{2BB0D547-C723-4FA4-BE4B-B1483104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3" name="Picture 2">
          <a:extLst>
            <a:ext uri="{FF2B5EF4-FFF2-40B4-BE49-F238E27FC236}">
              <a16:creationId xmlns:a16="http://schemas.microsoft.com/office/drawing/2014/main" id="{9CC8C28A-0117-40AB-9DD8-863AA890E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0</xdr:row>
      <xdr:rowOff>19050</xdr:rowOff>
    </xdr:from>
    <xdr:ext cx="2000250" cy="679323"/>
    <xdr:pic>
      <xdr:nvPicPr>
        <xdr:cNvPr id="4" name="Picture 3">
          <a:extLst>
            <a:ext uri="{FF2B5EF4-FFF2-40B4-BE49-F238E27FC236}">
              <a16:creationId xmlns:a16="http://schemas.microsoft.com/office/drawing/2014/main" id="{8378B8B6-E112-407E-8144-7EC7BCADD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000250" cy="679323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1687286</xdr:colOff>
      <xdr:row>0</xdr:row>
      <xdr:rowOff>54429</xdr:rowOff>
    </xdr:from>
    <xdr:to>
      <xdr:col>11</xdr:col>
      <xdr:colOff>1698081</xdr:colOff>
      <xdr:row>0</xdr:row>
      <xdr:rowOff>155394</xdr:rowOff>
    </xdr:to>
    <xdr:pic>
      <xdr:nvPicPr>
        <xdr:cNvPr id="2" name="Picture 13" descr="02_Built_logo Black on white">
          <a:extLst>
            <a:ext uri="{FF2B5EF4-FFF2-40B4-BE49-F238E27FC236}">
              <a16:creationId xmlns:a16="http://schemas.microsoft.com/office/drawing/2014/main" id="{4E3DF213-B4CB-40C4-971A-5041E43DD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5436" y="54429"/>
          <a:ext cx="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1687286</xdr:colOff>
      <xdr:row>0</xdr:row>
      <xdr:rowOff>54429</xdr:rowOff>
    </xdr:from>
    <xdr:to>
      <xdr:col>6</xdr:col>
      <xdr:colOff>1696811</xdr:colOff>
      <xdr:row>0</xdr:row>
      <xdr:rowOff>155394</xdr:rowOff>
    </xdr:to>
    <xdr:pic>
      <xdr:nvPicPr>
        <xdr:cNvPr id="2" name="Picture 13" descr="02_Built_logo Black on white">
          <a:extLst>
            <a:ext uri="{FF2B5EF4-FFF2-40B4-BE49-F238E27FC236}">
              <a16:creationId xmlns:a16="http://schemas.microsoft.com/office/drawing/2014/main" id="{BE5CA7D9-F164-4AD7-9D3D-1C5B709D9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6886" y="54429"/>
          <a:ext cx="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848D-3504-4460-B133-F9F76CDFF98A}">
  <sheetPr>
    <tabColor rgb="FF92D050"/>
    <pageSetUpPr fitToPage="1"/>
  </sheetPr>
  <dimension ref="A1:J53"/>
  <sheetViews>
    <sheetView zoomScaleNormal="100" workbookViewId="0">
      <selection activeCell="F29" sqref="F29"/>
    </sheetView>
  </sheetViews>
  <sheetFormatPr defaultColWidth="8.81640625" defaultRowHeight="15"/>
  <cols>
    <col min="1" max="1" width="11.81640625" style="233" customWidth="1"/>
    <col min="2" max="2" width="58.26953125" style="259" customWidth="1"/>
    <col min="3" max="4" width="10.81640625" style="225" customWidth="1"/>
    <col min="5" max="5" width="12.1796875" style="225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0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 t="s">
        <v>134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15.5" thickBot="1">
      <c r="A11" s="235"/>
      <c r="B11" s="236" t="s">
        <v>62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 ht="30">
      <c r="A13" s="242"/>
      <c r="B13" s="338" t="s">
        <v>120</v>
      </c>
      <c r="C13" s="244" t="s">
        <v>12</v>
      </c>
      <c r="D13" s="244" t="s">
        <v>13</v>
      </c>
      <c r="E13" s="244" t="s">
        <v>14</v>
      </c>
      <c r="F13" s="245"/>
      <c r="G13" s="246"/>
    </row>
    <row r="14" spans="1:7" ht="16.149999999999999" customHeight="1">
      <c r="A14" s="247">
        <v>1</v>
      </c>
      <c r="B14" s="248" t="s">
        <v>116</v>
      </c>
      <c r="C14" s="249" t="s">
        <v>15</v>
      </c>
      <c r="D14" s="250" t="s">
        <v>16</v>
      </c>
      <c r="E14" s="250">
        <v>31345</v>
      </c>
      <c r="F14" s="251">
        <v>31345</v>
      </c>
      <c r="G14" s="246"/>
    </row>
    <row r="15" spans="1:7">
      <c r="A15" s="247">
        <v>2</v>
      </c>
      <c r="B15" s="248" t="s">
        <v>70</v>
      </c>
      <c r="C15" s="249" t="s">
        <v>15</v>
      </c>
      <c r="D15" s="250" t="s">
        <v>16</v>
      </c>
      <c r="E15" s="250">
        <v>15678</v>
      </c>
      <c r="F15" s="251">
        <v>15678</v>
      </c>
      <c r="G15" s="246"/>
    </row>
    <row r="16" spans="1:7" ht="36.4" customHeight="1">
      <c r="A16" s="247">
        <v>3</v>
      </c>
      <c r="B16" s="248" t="s">
        <v>117</v>
      </c>
      <c r="C16" s="249" t="s">
        <v>15</v>
      </c>
      <c r="D16" s="250" t="s">
        <v>16</v>
      </c>
      <c r="E16" s="250">
        <v>9860</v>
      </c>
      <c r="F16" s="251">
        <v>9860</v>
      </c>
      <c r="G16" s="246"/>
    </row>
    <row r="17" spans="1:10" ht="30">
      <c r="A17" s="247">
        <v>4</v>
      </c>
      <c r="B17" s="248" t="s">
        <v>68</v>
      </c>
      <c r="C17" s="249" t="s">
        <v>15</v>
      </c>
      <c r="D17" s="250" t="s">
        <v>16</v>
      </c>
      <c r="E17" s="252">
        <v>2347</v>
      </c>
      <c r="F17" s="251">
        <v>2347</v>
      </c>
      <c r="G17" s="246"/>
    </row>
    <row r="18" spans="1:10">
      <c r="A18" s="247">
        <v>5</v>
      </c>
      <c r="B18" s="248" t="s">
        <v>118</v>
      </c>
      <c r="C18" s="249" t="s">
        <v>15</v>
      </c>
      <c r="D18" s="250" t="s">
        <v>16</v>
      </c>
      <c r="E18" s="252">
        <v>5460</v>
      </c>
      <c r="F18" s="251">
        <v>5460</v>
      </c>
      <c r="G18" s="246"/>
    </row>
    <row r="19" spans="1:10">
      <c r="A19" s="253"/>
      <c r="B19" s="248"/>
      <c r="C19" s="249"/>
      <c r="D19" s="250"/>
      <c r="E19" s="254"/>
      <c r="F19" s="251">
        <f t="shared" ref="F19" si="0">C19*E19</f>
        <v>0</v>
      </c>
      <c r="G19" s="246"/>
    </row>
    <row r="20" spans="1:10">
      <c r="A20" s="247"/>
      <c r="B20" s="248"/>
      <c r="C20" s="249"/>
      <c r="D20" s="250"/>
      <c r="E20" s="252"/>
      <c r="F20" s="251"/>
      <c r="G20" s="246"/>
    </row>
    <row r="21" spans="1:10" ht="30">
      <c r="A21" s="247"/>
      <c r="B21" s="248" t="s">
        <v>63</v>
      </c>
      <c r="C21" s="249"/>
      <c r="D21" s="250"/>
      <c r="E21" s="252"/>
      <c r="F21" s="251"/>
      <c r="G21" s="246"/>
    </row>
    <row r="22" spans="1:10" ht="15.5" thickBot="1">
      <c r="A22" s="247"/>
      <c r="B22" s="248"/>
      <c r="C22" s="249"/>
      <c r="D22" s="250"/>
      <c r="E22" s="252"/>
      <c r="F22" s="251"/>
      <c r="G22" s="246"/>
    </row>
    <row r="23" spans="1:10" ht="15.5" thickBot="1">
      <c r="A23" s="255" t="s">
        <v>17</v>
      </c>
      <c r="B23" s="256"/>
      <c r="C23" s="256"/>
      <c r="D23" s="256"/>
      <c r="F23" s="257">
        <f>SUM(F13:F22)</f>
        <v>64690</v>
      </c>
      <c r="G23" s="258">
        <f>SUM(G13:G22)</f>
        <v>0</v>
      </c>
    </row>
    <row r="24" spans="1:10">
      <c r="A24" s="255" t="s">
        <v>18</v>
      </c>
      <c r="F24" s="260">
        <f>F23-G23</f>
        <v>64690</v>
      </c>
      <c r="G24" s="261"/>
    </row>
    <row r="25" spans="1:10" ht="15" customHeight="1">
      <c r="A25" s="255" t="s">
        <v>19</v>
      </c>
      <c r="B25" s="255"/>
      <c r="F25" s="262">
        <f>F24*0.1</f>
        <v>6469</v>
      </c>
      <c r="G25" s="263"/>
    </row>
    <row r="26" spans="1:10">
      <c r="A26" s="255" t="s">
        <v>20</v>
      </c>
      <c r="B26" s="255"/>
      <c r="F26" s="264">
        <f>F24+F25</f>
        <v>71159</v>
      </c>
      <c r="G26" s="265"/>
    </row>
    <row r="27" spans="1:10" ht="15.5" thickBot="1">
      <c r="A27" s="255" t="s">
        <v>21</v>
      </c>
      <c r="B27" s="255"/>
      <c r="F27" s="266">
        <f>F26*0.1</f>
        <v>7115.9000000000005</v>
      </c>
      <c r="G27" s="267"/>
    </row>
    <row r="28" spans="1:10" ht="15.5" thickBot="1">
      <c r="A28" s="255" t="s">
        <v>22</v>
      </c>
      <c r="B28" s="255"/>
      <c r="F28" s="365">
        <f>F26+F27</f>
        <v>78274.899999999994</v>
      </c>
      <c r="G28" s="366"/>
    </row>
    <row r="29" spans="1:10">
      <c r="A29" s="255"/>
      <c r="C29" s="259"/>
      <c r="D29" s="259"/>
      <c r="E29" s="259"/>
      <c r="F29" s="259"/>
      <c r="G29" s="259"/>
    </row>
    <row r="30" spans="1:10" ht="15.5" thickBot="1">
      <c r="A30" s="255"/>
      <c r="C30" s="367"/>
      <c r="D30" s="367"/>
      <c r="E30" s="367"/>
      <c r="F30" s="367"/>
      <c r="G30" s="367"/>
    </row>
    <row r="31" spans="1:10">
      <c r="A31" s="268"/>
      <c r="B31" s="269"/>
      <c r="D31" s="270"/>
      <c r="F31" s="271" t="s">
        <v>23</v>
      </c>
      <c r="G31" s="272"/>
      <c r="I31" s="273"/>
      <c r="J31" s="273"/>
    </row>
    <row r="32" spans="1:10" ht="20.25" customHeight="1">
      <c r="A32" s="268"/>
      <c r="B32" s="269"/>
      <c r="D32" s="274"/>
      <c r="F32" s="275" t="s">
        <v>100</v>
      </c>
      <c r="G32" s="276"/>
      <c r="I32" s="277"/>
      <c r="J32" s="277"/>
    </row>
    <row r="33" spans="1:10" ht="15" customHeight="1">
      <c r="A33" s="268"/>
      <c r="B33" s="269"/>
      <c r="D33" s="274"/>
      <c r="F33" s="278"/>
      <c r="G33" s="279"/>
      <c r="I33" s="277"/>
      <c r="J33" s="277"/>
    </row>
    <row r="34" spans="1:10">
      <c r="A34" s="368" t="s">
        <v>24</v>
      </c>
      <c r="B34" s="368"/>
      <c r="D34" s="270"/>
      <c r="F34" s="280" t="s">
        <v>25</v>
      </c>
      <c r="G34" s="281"/>
      <c r="I34" s="273"/>
      <c r="J34" s="273"/>
    </row>
    <row r="35" spans="1:10">
      <c r="A35" s="232"/>
      <c r="B35" s="232"/>
      <c r="D35" s="282"/>
      <c r="F35" s="283"/>
      <c r="G35" s="284"/>
      <c r="I35" s="282"/>
      <c r="J35" s="282"/>
    </row>
    <row r="36" spans="1:10">
      <c r="A36" s="232"/>
      <c r="B36" s="232"/>
      <c r="D36" s="282"/>
      <c r="F36" s="278"/>
      <c r="G36" s="279"/>
      <c r="I36" s="282"/>
      <c r="J36" s="282"/>
    </row>
    <row r="37" spans="1:10" ht="15.5" thickBot="1">
      <c r="A37" s="369"/>
      <c r="B37" s="369"/>
      <c r="C37" s="285"/>
      <c r="D37" s="285"/>
      <c r="F37" s="286"/>
      <c r="G37" s="287"/>
    </row>
    <row r="38" spans="1:10">
      <c r="A38" s="268"/>
      <c r="B38" s="269"/>
      <c r="C38" s="285"/>
      <c r="D38" s="285"/>
      <c r="E38" s="282"/>
      <c r="F38" s="282"/>
      <c r="G38" s="282"/>
    </row>
    <row r="39" spans="1:10">
      <c r="C39" s="285"/>
      <c r="D39" s="285"/>
      <c r="E39" s="285"/>
      <c r="F39" s="285"/>
      <c r="G39" s="238"/>
    </row>
    <row r="40" spans="1:10">
      <c r="C40" s="285"/>
      <c r="D40" s="285"/>
      <c r="E40" s="285"/>
      <c r="F40" s="285"/>
      <c r="G40" s="238"/>
    </row>
    <row r="41" spans="1:10">
      <c r="C41" s="285"/>
      <c r="D41" s="285"/>
      <c r="E41" s="285"/>
      <c r="F41" s="285"/>
      <c r="G41" s="238"/>
    </row>
    <row r="42" spans="1:10">
      <c r="C42" s="285"/>
      <c r="D42" s="285"/>
      <c r="E42" s="285"/>
      <c r="F42" s="285"/>
      <c r="G42" s="238"/>
    </row>
    <row r="49" spans="1:7">
      <c r="A49" s="223"/>
      <c r="B49" s="224"/>
      <c r="G49" s="288"/>
    </row>
    <row r="51" spans="1:7">
      <c r="A51" s="223"/>
      <c r="B51" s="224"/>
      <c r="G51" s="288"/>
    </row>
    <row r="53" spans="1:7">
      <c r="A53" s="223"/>
      <c r="B53" s="224"/>
      <c r="G53" s="288"/>
    </row>
  </sheetData>
  <mergeCells count="6">
    <mergeCell ref="F28:G28"/>
    <mergeCell ref="C30:G30"/>
    <mergeCell ref="A34:B34"/>
    <mergeCell ref="A37:B37"/>
    <mergeCell ref="A4:G4"/>
    <mergeCell ref="B12:E12"/>
  </mergeCells>
  <phoneticPr fontId="33" type="noConversion"/>
  <pageMargins left="0.25" right="0.25" top="0.75" bottom="0.75" header="0.3" footer="0.3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E061-2ADD-42EF-B775-1B94C48D9633}">
  <sheetPr>
    <tabColor rgb="FF92D050"/>
    <pageSetUpPr fitToPage="1"/>
  </sheetPr>
  <dimension ref="A1:J48"/>
  <sheetViews>
    <sheetView topLeftCell="A4" zoomScaleNormal="100" workbookViewId="0">
      <selection activeCell="F29" sqref="F29"/>
    </sheetView>
  </sheetViews>
  <sheetFormatPr defaultColWidth="8.81640625" defaultRowHeight="15"/>
  <cols>
    <col min="1" max="1" width="11.81640625" style="233" customWidth="1"/>
    <col min="2" max="2" width="54.453125" style="259" customWidth="1"/>
    <col min="3" max="4" width="10.81640625" style="225" customWidth="1"/>
    <col min="5" max="5" width="12.1796875" style="225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0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v>45882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15.75" customHeight="1" thickBot="1">
      <c r="A11" s="235"/>
      <c r="B11" s="236" t="s">
        <v>81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 ht="30">
      <c r="A13" s="242"/>
      <c r="B13" s="338" t="s">
        <v>119</v>
      </c>
      <c r="C13" s="244" t="s">
        <v>12</v>
      </c>
      <c r="D13" s="244" t="s">
        <v>13</v>
      </c>
      <c r="E13" s="244" t="s">
        <v>14</v>
      </c>
      <c r="F13" s="289"/>
      <c r="G13" s="290"/>
    </row>
    <row r="14" spans="1:7">
      <c r="A14" s="339"/>
      <c r="B14" s="340"/>
      <c r="C14" s="341"/>
      <c r="D14" s="341"/>
      <c r="E14" s="341"/>
      <c r="F14" s="342"/>
      <c r="G14" s="343"/>
    </row>
    <row r="15" spans="1:7">
      <c r="A15" s="247">
        <v>1</v>
      </c>
      <c r="B15" s="248" t="s">
        <v>64</v>
      </c>
      <c r="C15" s="249" t="s">
        <v>15</v>
      </c>
      <c r="D15" s="250" t="s">
        <v>16</v>
      </c>
      <c r="E15" s="250">
        <v>23450</v>
      </c>
      <c r="F15" s="291">
        <f>E15*C15</f>
        <v>23450</v>
      </c>
      <c r="G15" s="246"/>
    </row>
    <row r="16" spans="1:7">
      <c r="A16" s="247"/>
      <c r="B16" s="248"/>
      <c r="C16" s="249"/>
      <c r="D16" s="250"/>
      <c r="E16" s="250"/>
      <c r="F16" s="291">
        <f>E16*C16</f>
        <v>0</v>
      </c>
      <c r="G16" s="246"/>
    </row>
    <row r="17" spans="1:10" ht="15.5" thickBot="1">
      <c r="A17" s="292"/>
      <c r="B17" s="293"/>
      <c r="C17" s="294"/>
      <c r="D17" s="295"/>
      <c r="E17" s="296"/>
      <c r="F17" s="297"/>
      <c r="G17" s="298"/>
    </row>
    <row r="18" spans="1:10" ht="15.5" thickBot="1">
      <c r="A18" s="255" t="s">
        <v>17</v>
      </c>
      <c r="B18" s="256"/>
      <c r="C18" s="256"/>
      <c r="D18" s="256"/>
      <c r="F18" s="257">
        <f>SUM(F13:F17)</f>
        <v>23450</v>
      </c>
      <c r="G18" s="299">
        <f>SUM(G13:G17)</f>
        <v>0</v>
      </c>
    </row>
    <row r="19" spans="1:10">
      <c r="A19" s="255" t="s">
        <v>18</v>
      </c>
      <c r="F19" s="260">
        <f>F18-G18</f>
        <v>23450</v>
      </c>
      <c r="G19" s="261"/>
    </row>
    <row r="20" spans="1:10" ht="15" customHeight="1">
      <c r="A20" s="255" t="s">
        <v>19</v>
      </c>
      <c r="B20" s="255"/>
      <c r="F20" s="262">
        <f>F19*0.1</f>
        <v>2345</v>
      </c>
      <c r="G20" s="263"/>
    </row>
    <row r="21" spans="1:10">
      <c r="A21" s="255" t="s">
        <v>20</v>
      </c>
      <c r="B21" s="255"/>
      <c r="F21" s="264">
        <f>F19+F20</f>
        <v>25795</v>
      </c>
      <c r="G21" s="265"/>
    </row>
    <row r="22" spans="1:10" ht="15.5" thickBot="1">
      <c r="A22" s="255" t="s">
        <v>21</v>
      </c>
      <c r="B22" s="255"/>
      <c r="F22" s="266">
        <f>F21*0.1</f>
        <v>2579.5</v>
      </c>
      <c r="G22" s="267"/>
    </row>
    <row r="23" spans="1:10" ht="15.5" thickBot="1">
      <c r="A23" s="255" t="s">
        <v>22</v>
      </c>
      <c r="B23" s="255"/>
      <c r="F23" s="365">
        <f>F21+F22</f>
        <v>28374.5</v>
      </c>
      <c r="G23" s="366"/>
    </row>
    <row r="24" spans="1:10">
      <c r="A24" s="255"/>
      <c r="C24" s="259"/>
      <c r="D24" s="259"/>
      <c r="E24" s="259"/>
      <c r="F24" s="259"/>
      <c r="G24" s="259"/>
    </row>
    <row r="25" spans="1:10" ht="15.5" thickBot="1">
      <c r="A25" s="255"/>
      <c r="C25" s="367"/>
      <c r="D25" s="367"/>
      <c r="E25" s="367"/>
      <c r="F25" s="367"/>
      <c r="G25" s="367"/>
    </row>
    <row r="26" spans="1:10">
      <c r="A26" s="268"/>
      <c r="B26" s="269"/>
      <c r="D26" s="270"/>
      <c r="F26" s="271" t="s">
        <v>23</v>
      </c>
      <c r="G26" s="272"/>
      <c r="I26" s="273"/>
      <c r="J26" s="273"/>
    </row>
    <row r="27" spans="1:10" ht="20.25" customHeight="1">
      <c r="A27" s="268"/>
      <c r="B27" s="269"/>
      <c r="D27" s="274"/>
      <c r="F27" s="275" t="s">
        <v>100</v>
      </c>
      <c r="G27" s="276"/>
      <c r="I27" s="277"/>
      <c r="J27" s="277"/>
    </row>
    <row r="28" spans="1:10" ht="15" customHeight="1">
      <c r="A28" s="268"/>
      <c r="B28" s="269"/>
      <c r="D28" s="274"/>
      <c r="F28" s="278"/>
      <c r="G28" s="279"/>
      <c r="I28" s="277"/>
      <c r="J28" s="277"/>
    </row>
    <row r="29" spans="1:10">
      <c r="A29" s="368" t="s">
        <v>24</v>
      </c>
      <c r="B29" s="368"/>
      <c r="D29" s="270"/>
      <c r="F29" s="280" t="s">
        <v>25</v>
      </c>
      <c r="G29" s="281"/>
      <c r="I29" s="273"/>
      <c r="J29" s="273"/>
    </row>
    <row r="30" spans="1:10">
      <c r="A30" s="232"/>
      <c r="B30" s="232"/>
      <c r="D30" s="282"/>
      <c r="F30" s="283"/>
      <c r="G30" s="284"/>
      <c r="I30" s="282"/>
      <c r="J30" s="282"/>
    </row>
    <row r="31" spans="1:10">
      <c r="A31" s="232"/>
      <c r="B31" s="232"/>
      <c r="D31" s="282"/>
      <c r="F31" s="278"/>
      <c r="G31" s="279"/>
      <c r="I31" s="282"/>
      <c r="J31" s="282"/>
    </row>
    <row r="32" spans="1:10" ht="15.5" thickBot="1">
      <c r="A32" s="369"/>
      <c r="B32" s="369"/>
      <c r="C32" s="285"/>
      <c r="D32" s="285"/>
      <c r="F32" s="286"/>
      <c r="G32" s="287"/>
    </row>
    <row r="33" spans="1:7">
      <c r="A33" s="268"/>
      <c r="B33" s="269"/>
      <c r="C33" s="285"/>
      <c r="D33" s="285"/>
      <c r="E33" s="282"/>
      <c r="F33" s="282"/>
      <c r="G33" s="282"/>
    </row>
    <row r="34" spans="1:7">
      <c r="C34" s="285"/>
      <c r="D34" s="285"/>
      <c r="E34" s="285"/>
      <c r="F34" s="285"/>
      <c r="G34" s="238"/>
    </row>
    <row r="35" spans="1:7">
      <c r="C35" s="285"/>
      <c r="D35" s="285"/>
      <c r="E35" s="285"/>
      <c r="F35" s="285"/>
      <c r="G35" s="238"/>
    </row>
    <row r="36" spans="1:7">
      <c r="C36" s="285"/>
      <c r="D36" s="285"/>
      <c r="E36" s="285"/>
      <c r="F36" s="285"/>
      <c r="G36" s="238"/>
    </row>
    <row r="37" spans="1:7">
      <c r="C37" s="285"/>
      <c r="D37" s="285"/>
      <c r="E37" s="285"/>
      <c r="F37" s="285"/>
      <c r="G37" s="238"/>
    </row>
    <row r="44" spans="1:7">
      <c r="A44" s="223"/>
      <c r="B44" s="224"/>
      <c r="G44" s="288"/>
    </row>
    <row r="46" spans="1:7">
      <c r="A46" s="223"/>
      <c r="B46" s="224"/>
      <c r="G46" s="288"/>
    </row>
    <row r="48" spans="1:7">
      <c r="A48" s="223"/>
      <c r="B48" s="224"/>
      <c r="G48" s="288"/>
    </row>
  </sheetData>
  <mergeCells count="6">
    <mergeCell ref="F23:G23"/>
    <mergeCell ref="C25:G25"/>
    <mergeCell ref="A29:B29"/>
    <mergeCell ref="A32:B32"/>
    <mergeCell ref="A4:G4"/>
    <mergeCell ref="B12:E12"/>
  </mergeCells>
  <phoneticPr fontId="33" type="noConversion"/>
  <pageMargins left="0.7" right="0.7" top="0.75" bottom="0.75" header="0.3" footer="0.3"/>
  <pageSetup paperSize="9"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E324-14C3-4DF6-809A-5FBEC506808E}">
  <sheetPr>
    <tabColor rgb="FF92D050"/>
    <pageSetUpPr fitToPage="1"/>
  </sheetPr>
  <dimension ref="A1:J48"/>
  <sheetViews>
    <sheetView zoomScaleNormal="100" workbookViewId="0">
      <selection activeCell="F29" sqref="F29"/>
    </sheetView>
  </sheetViews>
  <sheetFormatPr defaultColWidth="8.81640625" defaultRowHeight="15"/>
  <cols>
    <col min="1" max="1" width="11.81640625" style="233" customWidth="1"/>
    <col min="2" max="2" width="56.81640625" style="259" customWidth="1"/>
    <col min="3" max="4" width="10.81640625" style="225" customWidth="1"/>
    <col min="5" max="5" width="12.1796875" style="225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71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v>45882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30.5" thickBot="1">
      <c r="A11" s="235"/>
      <c r="B11" s="236" t="s">
        <v>65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>
      <c r="A13" s="242"/>
      <c r="B13" s="243"/>
      <c r="C13" s="244" t="s">
        <v>12</v>
      </c>
      <c r="D13" s="244" t="s">
        <v>13</v>
      </c>
      <c r="E13" s="244" t="s">
        <v>14</v>
      </c>
      <c r="F13" s="245"/>
      <c r="G13" s="300"/>
    </row>
    <row r="14" spans="1:7" ht="45">
      <c r="A14" s="247">
        <v>1</v>
      </c>
      <c r="B14" s="248" t="s">
        <v>121</v>
      </c>
      <c r="C14" s="249" t="s">
        <v>15</v>
      </c>
      <c r="D14" s="250" t="s">
        <v>66</v>
      </c>
      <c r="E14" s="250">
        <v>69800</v>
      </c>
      <c r="F14" s="251">
        <f>C14*E14</f>
        <v>69800</v>
      </c>
      <c r="G14" s="301"/>
    </row>
    <row r="15" spans="1:7">
      <c r="A15" s="247"/>
      <c r="B15" s="248"/>
      <c r="C15" s="249"/>
      <c r="D15" s="250"/>
      <c r="E15" s="250"/>
      <c r="F15" s="251">
        <f>C15*E15</f>
        <v>0</v>
      </c>
      <c r="G15" s="301"/>
    </row>
    <row r="16" spans="1:7" ht="30">
      <c r="A16" s="247"/>
      <c r="B16" s="344" t="s">
        <v>93</v>
      </c>
      <c r="C16" s="302"/>
      <c r="D16" s="252"/>
      <c r="E16" s="252"/>
      <c r="F16" s="303"/>
      <c r="G16" s="301"/>
    </row>
    <row r="17" spans="1:10" ht="15.5" thickBot="1">
      <c r="A17" s="292"/>
      <c r="B17" s="293"/>
      <c r="C17" s="294"/>
      <c r="D17" s="295"/>
      <c r="E17" s="296"/>
      <c r="F17" s="304"/>
      <c r="G17" s="305"/>
    </row>
    <row r="18" spans="1:10" ht="15.5" thickBot="1">
      <c r="A18" s="255" t="s">
        <v>17</v>
      </c>
      <c r="B18" s="256"/>
      <c r="C18" s="256"/>
      <c r="D18" s="256"/>
      <c r="F18" s="257">
        <f>SUM(F13:F17)</f>
        <v>69800</v>
      </c>
      <c r="G18" s="258">
        <f>SUM(G13:G17)</f>
        <v>0</v>
      </c>
    </row>
    <row r="19" spans="1:10">
      <c r="A19" s="255" t="s">
        <v>18</v>
      </c>
      <c r="F19" s="260">
        <f>F18-G18</f>
        <v>69800</v>
      </c>
      <c r="G19" s="261"/>
    </row>
    <row r="20" spans="1:10" ht="15" customHeight="1">
      <c r="A20" s="255" t="s">
        <v>19</v>
      </c>
      <c r="B20" s="255"/>
      <c r="F20" s="262">
        <f>F19*0.1</f>
        <v>6980</v>
      </c>
      <c r="G20" s="263"/>
    </row>
    <row r="21" spans="1:10">
      <c r="A21" s="255" t="s">
        <v>20</v>
      </c>
      <c r="B21" s="255"/>
      <c r="F21" s="264">
        <f>F19+F20</f>
        <v>76780</v>
      </c>
      <c r="G21" s="265"/>
    </row>
    <row r="22" spans="1:10" ht="15.5" thickBot="1">
      <c r="A22" s="255" t="s">
        <v>21</v>
      </c>
      <c r="B22" s="255"/>
      <c r="F22" s="266">
        <f>F21*0.1</f>
        <v>7678</v>
      </c>
      <c r="G22" s="267"/>
    </row>
    <row r="23" spans="1:10" ht="15.5" thickBot="1">
      <c r="A23" s="255" t="s">
        <v>22</v>
      </c>
      <c r="B23" s="255"/>
      <c r="F23" s="365">
        <f>F21+F22</f>
        <v>84458</v>
      </c>
      <c r="G23" s="366"/>
    </row>
    <row r="24" spans="1:10">
      <c r="A24" s="255"/>
      <c r="C24" s="259"/>
      <c r="D24" s="259"/>
      <c r="E24" s="259"/>
      <c r="F24" s="259"/>
      <c r="G24" s="259"/>
    </row>
    <row r="25" spans="1:10" ht="15.5" thickBot="1">
      <c r="A25" s="255"/>
      <c r="C25" s="367"/>
      <c r="D25" s="367"/>
      <c r="E25" s="367"/>
      <c r="F25" s="367"/>
      <c r="G25" s="367"/>
    </row>
    <row r="26" spans="1:10">
      <c r="A26" s="268"/>
      <c r="B26" s="269"/>
      <c r="D26" s="270"/>
      <c r="F26" s="271" t="s">
        <v>23</v>
      </c>
      <c r="G26" s="272"/>
      <c r="I26" s="273"/>
      <c r="J26" s="273"/>
    </row>
    <row r="27" spans="1:10" ht="20.25" customHeight="1">
      <c r="A27" s="268"/>
      <c r="B27" s="269"/>
      <c r="D27" s="274"/>
      <c r="F27" s="275" t="s">
        <v>100</v>
      </c>
      <c r="G27" s="276"/>
      <c r="I27" s="277"/>
      <c r="J27" s="277"/>
    </row>
    <row r="28" spans="1:10" ht="15" customHeight="1">
      <c r="A28" s="268"/>
      <c r="B28" s="269"/>
      <c r="D28" s="274"/>
      <c r="F28" s="278"/>
      <c r="G28" s="279"/>
      <c r="I28" s="277"/>
      <c r="J28" s="277"/>
    </row>
    <row r="29" spans="1:10">
      <c r="A29" s="368" t="s">
        <v>24</v>
      </c>
      <c r="B29" s="368"/>
      <c r="D29" s="270"/>
      <c r="F29" s="280" t="s">
        <v>25</v>
      </c>
      <c r="G29" s="281"/>
      <c r="I29" s="273"/>
      <c r="J29" s="273"/>
    </row>
    <row r="30" spans="1:10">
      <c r="A30" s="232"/>
      <c r="B30" s="232"/>
      <c r="D30" s="282"/>
      <c r="F30" s="283"/>
      <c r="G30" s="284"/>
      <c r="I30" s="282"/>
      <c r="J30" s="282"/>
    </row>
    <row r="31" spans="1:10">
      <c r="A31" s="232"/>
      <c r="B31" s="232"/>
      <c r="D31" s="282"/>
      <c r="F31" s="278"/>
      <c r="G31" s="279"/>
      <c r="I31" s="282"/>
      <c r="J31" s="282"/>
    </row>
    <row r="32" spans="1:10" ht="15.5" thickBot="1">
      <c r="A32" s="369"/>
      <c r="B32" s="369"/>
      <c r="C32" s="285"/>
      <c r="D32" s="285"/>
      <c r="F32" s="286"/>
      <c r="G32" s="287"/>
    </row>
    <row r="33" spans="1:7">
      <c r="A33" s="268"/>
      <c r="B33" s="269"/>
      <c r="C33" s="285"/>
      <c r="D33" s="285"/>
      <c r="E33" s="282"/>
      <c r="F33" s="282"/>
      <c r="G33" s="282"/>
    </row>
    <row r="34" spans="1:7">
      <c r="C34" s="285"/>
      <c r="D34" s="285"/>
      <c r="E34" s="285"/>
      <c r="F34" s="285"/>
      <c r="G34" s="238"/>
    </row>
    <row r="35" spans="1:7">
      <c r="C35" s="285"/>
      <c r="D35" s="285"/>
      <c r="E35" s="285"/>
      <c r="F35" s="285"/>
      <c r="G35" s="238"/>
    </row>
    <row r="36" spans="1:7">
      <c r="C36" s="285"/>
      <c r="D36" s="285"/>
      <c r="E36" s="285"/>
      <c r="F36" s="285"/>
      <c r="G36" s="238"/>
    </row>
    <row r="37" spans="1:7">
      <c r="C37" s="285"/>
      <c r="D37" s="285"/>
      <c r="E37" s="285"/>
      <c r="F37" s="285"/>
      <c r="G37" s="238"/>
    </row>
    <row r="44" spans="1:7">
      <c r="A44" s="223"/>
      <c r="B44" s="224"/>
      <c r="G44" s="288"/>
    </row>
    <row r="46" spans="1:7">
      <c r="A46" s="223"/>
      <c r="B46" s="224"/>
      <c r="G46" s="288"/>
    </row>
    <row r="48" spans="1:7">
      <c r="A48" s="223"/>
      <c r="B48" s="224"/>
      <c r="G48" s="288"/>
    </row>
  </sheetData>
  <mergeCells count="6">
    <mergeCell ref="F23:G23"/>
    <mergeCell ref="C25:G25"/>
    <mergeCell ref="A29:B29"/>
    <mergeCell ref="A32:B32"/>
    <mergeCell ref="A4:G4"/>
    <mergeCell ref="B12:E12"/>
  </mergeCells>
  <phoneticPr fontId="81" type="noConversion"/>
  <pageMargins left="0.7" right="0.7" top="0.75" bottom="0.75" header="0.3" footer="0.3"/>
  <pageSetup paperSize="9"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CC7A-0037-42D4-96EB-5DCB310ABF4F}">
  <sheetPr>
    <tabColor rgb="FF92D050"/>
    <pageSetUpPr fitToPage="1"/>
  </sheetPr>
  <dimension ref="A1:J48"/>
  <sheetViews>
    <sheetView topLeftCell="A4" zoomScaleNormal="100" workbookViewId="0">
      <selection activeCell="F29" sqref="F29"/>
    </sheetView>
  </sheetViews>
  <sheetFormatPr defaultColWidth="8.81640625" defaultRowHeight="15"/>
  <cols>
    <col min="1" max="1" width="11.81640625" style="233" customWidth="1"/>
    <col min="2" max="2" width="56.81640625" style="259" customWidth="1"/>
    <col min="3" max="4" width="10.81640625" style="225" customWidth="1"/>
    <col min="5" max="5" width="13.54296875" style="225" bestFit="1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0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v>45882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15.5" thickBot="1">
      <c r="A11" s="235"/>
      <c r="B11" s="236" t="s">
        <v>82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>
      <c r="A13" s="242"/>
      <c r="B13" s="243"/>
      <c r="C13" s="244" t="s">
        <v>12</v>
      </c>
      <c r="D13" s="244" t="s">
        <v>13</v>
      </c>
      <c r="E13" s="244" t="s">
        <v>14</v>
      </c>
      <c r="F13" s="245"/>
      <c r="G13" s="300"/>
    </row>
    <row r="14" spans="1:7">
      <c r="A14" s="247">
        <v>1</v>
      </c>
      <c r="B14" s="248" t="s">
        <v>67</v>
      </c>
      <c r="C14" s="249" t="s">
        <v>135</v>
      </c>
      <c r="D14" s="250" t="s">
        <v>92</v>
      </c>
      <c r="E14" s="252">
        <v>100000</v>
      </c>
      <c r="F14" s="251">
        <f>SUM(E14*C14)</f>
        <v>300000</v>
      </c>
      <c r="G14" s="246"/>
    </row>
    <row r="15" spans="1:7">
      <c r="A15" s="247"/>
      <c r="B15" s="248"/>
      <c r="C15" s="249"/>
      <c r="D15" s="250"/>
      <c r="E15" s="250"/>
      <c r="F15" s="251">
        <f>C15*E15</f>
        <v>0</v>
      </c>
      <c r="G15" s="301"/>
    </row>
    <row r="16" spans="1:7">
      <c r="A16" s="247"/>
      <c r="B16" s="248"/>
      <c r="C16" s="302"/>
      <c r="D16" s="252"/>
      <c r="E16" s="252"/>
      <c r="F16" s="303"/>
      <c r="G16" s="301"/>
    </row>
    <row r="17" spans="1:10" ht="15.5" thickBot="1">
      <c r="A17" s="292"/>
      <c r="B17" s="293"/>
      <c r="C17" s="294"/>
      <c r="D17" s="295"/>
      <c r="E17" s="296"/>
      <c r="F17" s="304"/>
      <c r="G17" s="305"/>
    </row>
    <row r="18" spans="1:10" ht="15.5" thickBot="1">
      <c r="A18" s="255" t="s">
        <v>17</v>
      </c>
      <c r="B18" s="256"/>
      <c r="C18" s="256"/>
      <c r="D18" s="256"/>
      <c r="F18" s="257">
        <f>SUM(F13:F17)</f>
        <v>300000</v>
      </c>
      <c r="G18" s="258">
        <f>SUM(G13:G17)</f>
        <v>0</v>
      </c>
    </row>
    <row r="19" spans="1:10">
      <c r="A19" s="255" t="s">
        <v>18</v>
      </c>
      <c r="F19" s="260">
        <f>F18-G18</f>
        <v>300000</v>
      </c>
      <c r="G19" s="261"/>
    </row>
    <row r="20" spans="1:10" ht="15" customHeight="1">
      <c r="A20" s="255" t="s">
        <v>19</v>
      </c>
      <c r="B20" s="255"/>
      <c r="F20" s="262">
        <f>F19*10%</f>
        <v>30000</v>
      </c>
      <c r="G20" s="263"/>
    </row>
    <row r="21" spans="1:10">
      <c r="A21" s="255" t="s">
        <v>20</v>
      </c>
      <c r="B21" s="255"/>
      <c r="F21" s="264">
        <f>F19+F20</f>
        <v>330000</v>
      </c>
      <c r="G21" s="265"/>
    </row>
    <row r="22" spans="1:10" ht="15.5" thickBot="1">
      <c r="A22" s="255" t="s">
        <v>21</v>
      </c>
      <c r="B22" s="255"/>
      <c r="F22" s="266">
        <f>F21*0.1</f>
        <v>33000</v>
      </c>
      <c r="G22" s="267"/>
    </row>
    <row r="23" spans="1:10" ht="15.5" thickBot="1">
      <c r="A23" s="255" t="s">
        <v>22</v>
      </c>
      <c r="B23" s="255"/>
      <c r="F23" s="365">
        <f>F21+F22</f>
        <v>363000</v>
      </c>
      <c r="G23" s="366"/>
    </row>
    <row r="24" spans="1:10">
      <c r="A24" s="255"/>
      <c r="C24" s="259"/>
      <c r="D24" s="259"/>
      <c r="E24" s="259"/>
      <c r="F24" s="259"/>
      <c r="G24" s="259"/>
    </row>
    <row r="25" spans="1:10" ht="15.5" thickBot="1">
      <c r="A25" s="255"/>
      <c r="C25" s="367"/>
      <c r="D25" s="367"/>
      <c r="E25" s="367"/>
      <c r="F25" s="367"/>
      <c r="G25" s="367"/>
    </row>
    <row r="26" spans="1:10">
      <c r="A26" s="268"/>
      <c r="B26" s="269"/>
      <c r="D26" s="270"/>
      <c r="F26" s="271" t="s">
        <v>23</v>
      </c>
      <c r="G26" s="272"/>
      <c r="I26" s="273"/>
      <c r="J26" s="273"/>
    </row>
    <row r="27" spans="1:10" ht="20.25" customHeight="1">
      <c r="A27" s="268"/>
      <c r="B27" s="269"/>
      <c r="D27" s="274"/>
      <c r="F27" s="275" t="s">
        <v>100</v>
      </c>
      <c r="G27" s="276"/>
      <c r="I27" s="277"/>
      <c r="J27" s="277"/>
    </row>
    <row r="28" spans="1:10" ht="15" customHeight="1">
      <c r="A28" s="268"/>
      <c r="B28" s="269"/>
      <c r="D28" s="274"/>
      <c r="F28" s="278"/>
      <c r="G28" s="279"/>
      <c r="I28" s="277"/>
      <c r="J28" s="277"/>
    </row>
    <row r="29" spans="1:10">
      <c r="A29" s="368" t="s">
        <v>24</v>
      </c>
      <c r="B29" s="368"/>
      <c r="D29" s="270"/>
      <c r="F29" s="280" t="s">
        <v>25</v>
      </c>
      <c r="G29" s="281"/>
      <c r="I29" s="273"/>
      <c r="J29" s="273"/>
    </row>
    <row r="30" spans="1:10">
      <c r="A30" s="232"/>
      <c r="B30" s="232"/>
      <c r="D30" s="282"/>
      <c r="F30" s="283"/>
      <c r="G30" s="284"/>
      <c r="I30" s="282"/>
      <c r="J30" s="282"/>
    </row>
    <row r="31" spans="1:10">
      <c r="A31" s="232"/>
      <c r="B31" s="232"/>
      <c r="D31" s="282"/>
      <c r="F31" s="278"/>
      <c r="G31" s="279"/>
      <c r="I31" s="282"/>
      <c r="J31" s="282"/>
    </row>
    <row r="32" spans="1:10" ht="15.5" thickBot="1">
      <c r="A32" s="369"/>
      <c r="B32" s="369"/>
      <c r="C32" s="285"/>
      <c r="D32" s="285"/>
      <c r="F32" s="286"/>
      <c r="G32" s="287"/>
    </row>
    <row r="33" spans="1:7">
      <c r="A33" s="268"/>
      <c r="B33" s="269"/>
      <c r="C33" s="285"/>
      <c r="D33" s="285"/>
      <c r="E33" s="282"/>
      <c r="F33" s="282"/>
      <c r="G33" s="282"/>
    </row>
    <row r="34" spans="1:7">
      <c r="C34" s="285"/>
      <c r="D34" s="285"/>
      <c r="E34" s="285"/>
      <c r="F34" s="285"/>
      <c r="G34" s="238"/>
    </row>
    <row r="35" spans="1:7">
      <c r="C35" s="285"/>
      <c r="D35" s="285"/>
      <c r="E35" s="285"/>
      <c r="F35" s="285"/>
      <c r="G35" s="238"/>
    </row>
    <row r="36" spans="1:7">
      <c r="C36" s="285"/>
      <c r="D36" s="285"/>
      <c r="E36" s="285"/>
      <c r="F36" s="285"/>
      <c r="G36" s="238"/>
    </row>
    <row r="37" spans="1:7">
      <c r="C37" s="285"/>
      <c r="D37" s="285"/>
      <c r="E37" s="285"/>
      <c r="F37" s="285"/>
      <c r="G37" s="238"/>
    </row>
    <row r="44" spans="1:7">
      <c r="A44" s="223"/>
      <c r="B44" s="224"/>
      <c r="G44" s="288"/>
    </row>
    <row r="46" spans="1:7">
      <c r="A46" s="223"/>
      <c r="B46" s="224"/>
      <c r="G46" s="288"/>
    </row>
    <row r="48" spans="1:7">
      <c r="A48" s="223"/>
      <c r="B48" s="224"/>
      <c r="G48" s="288"/>
    </row>
  </sheetData>
  <mergeCells count="6">
    <mergeCell ref="F23:G23"/>
    <mergeCell ref="C25:G25"/>
    <mergeCell ref="A29:B29"/>
    <mergeCell ref="A32:B32"/>
    <mergeCell ref="A4:G4"/>
    <mergeCell ref="B12:E12"/>
  </mergeCells>
  <phoneticPr fontId="33" type="noConversion"/>
  <pageMargins left="0.7" right="0.7" top="0.75" bottom="0.75" header="0.3" footer="0.3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8D88-7E52-4D5A-95B9-6F6614511009}">
  <sheetPr>
    <tabColor rgb="FF92D050"/>
    <pageSetUpPr fitToPage="1"/>
  </sheetPr>
  <dimension ref="A1:J47"/>
  <sheetViews>
    <sheetView zoomScaleNormal="100" workbookViewId="0">
      <selection activeCell="F29" sqref="F29"/>
    </sheetView>
  </sheetViews>
  <sheetFormatPr defaultColWidth="8.81640625" defaultRowHeight="15"/>
  <cols>
    <col min="1" max="1" width="11.81640625" style="233" customWidth="1"/>
    <col min="2" max="2" width="56.81640625" style="259" customWidth="1"/>
    <col min="3" max="4" width="10.81640625" style="225" customWidth="1"/>
    <col min="5" max="5" width="12.1796875" style="225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0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v>45882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15.5" thickBot="1">
      <c r="A11" s="235"/>
      <c r="B11" s="236" t="s">
        <v>73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 ht="30">
      <c r="A13" s="242"/>
      <c r="B13" s="338" t="s">
        <v>122</v>
      </c>
      <c r="C13" s="244" t="s">
        <v>12</v>
      </c>
      <c r="D13" s="244" t="s">
        <v>13</v>
      </c>
      <c r="E13" s="244" t="s">
        <v>14</v>
      </c>
      <c r="F13" s="245"/>
      <c r="G13" s="300"/>
    </row>
    <row r="14" spans="1:7" ht="150">
      <c r="A14" s="247">
        <v>1</v>
      </c>
      <c r="B14" s="248" t="s">
        <v>72</v>
      </c>
      <c r="C14" s="249" t="s">
        <v>15</v>
      </c>
      <c r="D14" s="250" t="s">
        <v>16</v>
      </c>
      <c r="E14" s="250">
        <v>16590</v>
      </c>
      <c r="F14" s="251">
        <f>SUM(E14*1)</f>
        <v>16590</v>
      </c>
      <c r="G14" s="246"/>
    </row>
    <row r="15" spans="1:7">
      <c r="A15" s="247"/>
      <c r="B15" s="248"/>
      <c r="C15" s="302"/>
      <c r="D15" s="252"/>
      <c r="E15" s="252"/>
      <c r="F15" s="303"/>
      <c r="G15" s="301"/>
    </row>
    <row r="16" spans="1:7" ht="15.5" thickBot="1">
      <c r="A16" s="292"/>
      <c r="B16" s="293"/>
      <c r="C16" s="294"/>
      <c r="D16" s="295"/>
      <c r="E16" s="296"/>
      <c r="F16" s="304"/>
      <c r="G16" s="305"/>
    </row>
    <row r="17" spans="1:10" ht="15.5" thickBot="1">
      <c r="A17" s="255" t="s">
        <v>17</v>
      </c>
      <c r="B17" s="256"/>
      <c r="C17" s="256"/>
      <c r="D17" s="256"/>
      <c r="F17" s="257">
        <f>SUM(F13:F16)</f>
        <v>16590</v>
      </c>
      <c r="G17" s="258">
        <f>SUM(G13:G16)</f>
        <v>0</v>
      </c>
    </row>
    <row r="18" spans="1:10">
      <c r="A18" s="255" t="s">
        <v>18</v>
      </c>
      <c r="F18" s="260">
        <f>F17-G17</f>
        <v>16590</v>
      </c>
      <c r="G18" s="261"/>
    </row>
    <row r="19" spans="1:10" ht="15" customHeight="1">
      <c r="A19" s="255" t="s">
        <v>19</v>
      </c>
      <c r="B19" s="255"/>
      <c r="F19" s="262">
        <f>F18*10%</f>
        <v>1659</v>
      </c>
      <c r="G19" s="263"/>
    </row>
    <row r="20" spans="1:10">
      <c r="A20" s="255" t="s">
        <v>20</v>
      </c>
      <c r="B20" s="255"/>
      <c r="F20" s="264">
        <f>F18+F19</f>
        <v>18249</v>
      </c>
      <c r="G20" s="265"/>
    </row>
    <row r="21" spans="1:10" ht="15.5" thickBot="1">
      <c r="A21" s="255" t="s">
        <v>21</v>
      </c>
      <c r="B21" s="255"/>
      <c r="F21" s="266">
        <f>F20*0.1</f>
        <v>1824.9</v>
      </c>
      <c r="G21" s="267"/>
    </row>
    <row r="22" spans="1:10" ht="15.5" thickBot="1">
      <c r="A22" s="255" t="s">
        <v>22</v>
      </c>
      <c r="B22" s="255"/>
      <c r="F22" s="365">
        <f>F20+F21</f>
        <v>20073.900000000001</v>
      </c>
      <c r="G22" s="366"/>
    </row>
    <row r="23" spans="1:10">
      <c r="A23" s="255"/>
      <c r="C23" s="259"/>
      <c r="D23" s="259"/>
      <c r="E23" s="259"/>
      <c r="F23" s="259"/>
      <c r="G23" s="259"/>
    </row>
    <row r="24" spans="1:10" ht="15.5" thickBot="1">
      <c r="A24" s="255"/>
      <c r="C24" s="367"/>
      <c r="D24" s="367"/>
      <c r="E24" s="367"/>
      <c r="F24" s="367"/>
      <c r="G24" s="367"/>
    </row>
    <row r="25" spans="1:10">
      <c r="A25" s="268"/>
      <c r="B25" s="269"/>
      <c r="D25" s="270"/>
      <c r="F25" s="271" t="s">
        <v>23</v>
      </c>
      <c r="G25" s="272"/>
      <c r="I25" s="273"/>
      <c r="J25" s="273"/>
    </row>
    <row r="26" spans="1:10" ht="20.25" customHeight="1">
      <c r="A26" s="268"/>
      <c r="B26" s="269"/>
      <c r="D26" s="274"/>
      <c r="F26" s="275" t="s">
        <v>100</v>
      </c>
      <c r="G26" s="276"/>
      <c r="I26" s="277"/>
      <c r="J26" s="277"/>
    </row>
    <row r="27" spans="1:10" ht="15" customHeight="1">
      <c r="A27" s="268"/>
      <c r="B27" s="269"/>
      <c r="D27" s="274"/>
      <c r="F27" s="278"/>
      <c r="G27" s="279"/>
      <c r="I27" s="277"/>
      <c r="J27" s="277"/>
    </row>
    <row r="28" spans="1:10">
      <c r="A28" s="368" t="s">
        <v>24</v>
      </c>
      <c r="B28" s="368"/>
      <c r="D28" s="270"/>
      <c r="F28" s="280" t="s">
        <v>25</v>
      </c>
      <c r="G28" s="281"/>
      <c r="I28" s="273"/>
      <c r="J28" s="273"/>
    </row>
    <row r="29" spans="1:10">
      <c r="A29" s="232"/>
      <c r="B29" s="232"/>
      <c r="D29" s="282"/>
      <c r="F29" s="283"/>
      <c r="G29" s="284"/>
      <c r="I29" s="282"/>
      <c r="J29" s="282"/>
    </row>
    <row r="30" spans="1:10">
      <c r="A30" s="232"/>
      <c r="B30" s="232"/>
      <c r="D30" s="282"/>
      <c r="F30" s="278"/>
      <c r="G30" s="279"/>
      <c r="I30" s="282"/>
      <c r="J30" s="282"/>
    </row>
    <row r="31" spans="1:10" ht="15.5" thickBot="1">
      <c r="A31" s="369"/>
      <c r="B31" s="369"/>
      <c r="C31" s="285"/>
      <c r="D31" s="285"/>
      <c r="F31" s="286"/>
      <c r="G31" s="287"/>
    </row>
    <row r="32" spans="1:10">
      <c r="A32" s="268"/>
      <c r="B32" s="269"/>
      <c r="C32" s="285"/>
      <c r="D32" s="285"/>
      <c r="E32" s="282"/>
      <c r="F32" s="282"/>
      <c r="G32" s="282"/>
    </row>
    <row r="33" spans="1:7">
      <c r="C33" s="285"/>
      <c r="D33" s="285"/>
      <c r="E33" s="285"/>
      <c r="F33" s="285"/>
      <c r="G33" s="238"/>
    </row>
    <row r="34" spans="1:7">
      <c r="C34" s="285"/>
      <c r="D34" s="285"/>
      <c r="E34" s="285"/>
      <c r="F34" s="285"/>
      <c r="G34" s="238"/>
    </row>
    <row r="35" spans="1:7">
      <c r="C35" s="285"/>
      <c r="D35" s="285"/>
      <c r="E35" s="285"/>
      <c r="F35" s="285"/>
      <c r="G35" s="238"/>
    </row>
    <row r="36" spans="1:7">
      <c r="C36" s="285"/>
      <c r="D36" s="285"/>
      <c r="E36" s="285"/>
      <c r="F36" s="285"/>
      <c r="G36" s="238"/>
    </row>
    <row r="43" spans="1:7">
      <c r="A43" s="223"/>
      <c r="B43" s="224"/>
      <c r="G43" s="288"/>
    </row>
    <row r="45" spans="1:7">
      <c r="A45" s="223"/>
      <c r="B45" s="224"/>
      <c r="G45" s="288"/>
    </row>
    <row r="47" spans="1:7">
      <c r="A47" s="223"/>
      <c r="B47" s="224"/>
      <c r="G47" s="288"/>
    </row>
  </sheetData>
  <mergeCells count="6">
    <mergeCell ref="A31:B31"/>
    <mergeCell ref="A4:G4"/>
    <mergeCell ref="B12:E12"/>
    <mergeCell ref="F22:G22"/>
    <mergeCell ref="C24:G24"/>
    <mergeCell ref="A28:B28"/>
  </mergeCells>
  <phoneticPr fontId="81" type="noConversion"/>
  <pageMargins left="0.7" right="0.7" top="0.75" bottom="0.75" header="0.3" footer="0.3"/>
  <pageSetup paperSize="9" scale="6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230D-E913-4071-AE12-942F78B1DD88}">
  <sheetPr>
    <tabColor rgb="FF92D050"/>
    <pageSetUpPr fitToPage="1"/>
  </sheetPr>
  <dimension ref="A1:J51"/>
  <sheetViews>
    <sheetView zoomScaleNormal="100" workbookViewId="0">
      <selection activeCell="I32" sqref="I32"/>
    </sheetView>
  </sheetViews>
  <sheetFormatPr defaultColWidth="8.81640625" defaultRowHeight="15"/>
  <cols>
    <col min="1" max="1" width="11.81640625" style="233" customWidth="1"/>
    <col min="2" max="2" width="56.81640625" style="259" customWidth="1"/>
    <col min="3" max="4" width="10.81640625" style="225" customWidth="1"/>
    <col min="5" max="5" width="13.81640625" style="225" bestFit="1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69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v>45971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30.5" thickBot="1">
      <c r="A11" s="235"/>
      <c r="B11" s="236" t="s">
        <v>129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 ht="30">
      <c r="A13" s="242"/>
      <c r="B13" s="338" t="s">
        <v>123</v>
      </c>
      <c r="C13" s="244" t="s">
        <v>12</v>
      </c>
      <c r="D13" s="244" t="s">
        <v>13</v>
      </c>
      <c r="E13" s="244" t="s">
        <v>14</v>
      </c>
      <c r="F13" s="245"/>
      <c r="G13" s="300"/>
    </row>
    <row r="14" spans="1:7">
      <c r="A14" s="339"/>
      <c r="B14" s="340"/>
      <c r="C14" s="341"/>
      <c r="D14" s="341"/>
      <c r="E14" s="341"/>
      <c r="F14" s="345"/>
      <c r="G14" s="346"/>
    </row>
    <row r="15" spans="1:7" ht="30">
      <c r="A15" s="247">
        <v>1</v>
      </c>
      <c r="B15" s="248" t="s">
        <v>75</v>
      </c>
      <c r="C15" s="249" t="s">
        <v>15</v>
      </c>
      <c r="D15" s="250" t="s">
        <v>16</v>
      </c>
      <c r="E15" s="250">
        <v>42780</v>
      </c>
      <c r="F15" s="251">
        <f>SUM(E15*1)</f>
        <v>42780</v>
      </c>
      <c r="G15" s="246"/>
    </row>
    <row r="16" spans="1:7" ht="30">
      <c r="A16" s="247">
        <v>2</v>
      </c>
      <c r="B16" s="248" t="s">
        <v>76</v>
      </c>
      <c r="C16" s="249" t="s">
        <v>15</v>
      </c>
      <c r="D16" s="250" t="s">
        <v>16</v>
      </c>
      <c r="E16" s="252" t="s">
        <v>80</v>
      </c>
      <c r="F16" s="303">
        <v>0</v>
      </c>
      <c r="G16" s="301"/>
    </row>
    <row r="17" spans="1:10" ht="30">
      <c r="A17" s="247">
        <v>3</v>
      </c>
      <c r="B17" s="248" t="s">
        <v>77</v>
      </c>
      <c r="C17" s="249" t="s">
        <v>15</v>
      </c>
      <c r="D17" s="250" t="s">
        <v>16</v>
      </c>
      <c r="E17" s="252" t="s">
        <v>80</v>
      </c>
      <c r="F17" s="303">
        <v>0</v>
      </c>
      <c r="G17" s="301"/>
    </row>
    <row r="18" spans="1:10" ht="30">
      <c r="A18" s="247">
        <v>4</v>
      </c>
      <c r="B18" s="248" t="s">
        <v>78</v>
      </c>
      <c r="C18" s="249" t="s">
        <v>15</v>
      </c>
      <c r="D18" s="250" t="s">
        <v>16</v>
      </c>
      <c r="E18" s="252" t="s">
        <v>80</v>
      </c>
      <c r="F18" s="303">
        <v>0</v>
      </c>
      <c r="G18" s="301"/>
    </row>
    <row r="19" spans="1:10">
      <c r="A19" s="247">
        <v>5</v>
      </c>
      <c r="B19" s="248" t="s">
        <v>79</v>
      </c>
      <c r="C19" s="249" t="s">
        <v>15</v>
      </c>
      <c r="D19" s="250" t="s">
        <v>16</v>
      </c>
      <c r="E19" s="252" t="s">
        <v>80</v>
      </c>
      <c r="F19" s="251">
        <v>0</v>
      </c>
      <c r="G19" s="246"/>
    </row>
    <row r="20" spans="1:10" ht="15.5" thickBot="1">
      <c r="A20" s="292"/>
      <c r="B20" s="293"/>
      <c r="C20" s="294"/>
      <c r="D20" s="295"/>
      <c r="E20" s="296"/>
      <c r="F20" s="304"/>
      <c r="G20" s="305"/>
    </row>
    <row r="21" spans="1:10" ht="15.5" thickBot="1">
      <c r="A21" s="255" t="s">
        <v>17</v>
      </c>
      <c r="B21" s="256"/>
      <c r="C21" s="256"/>
      <c r="D21" s="256"/>
      <c r="F21" s="257">
        <f>SUM(F13:F20)</f>
        <v>42780</v>
      </c>
      <c r="G21" s="258">
        <f>SUM(G13:G20)</f>
        <v>0</v>
      </c>
    </row>
    <row r="22" spans="1:10">
      <c r="A22" s="255" t="s">
        <v>18</v>
      </c>
      <c r="F22" s="260">
        <f>F21-G21</f>
        <v>42780</v>
      </c>
      <c r="G22" s="261"/>
    </row>
    <row r="23" spans="1:10" ht="15" customHeight="1">
      <c r="A23" s="255" t="s">
        <v>19</v>
      </c>
      <c r="B23" s="255"/>
      <c r="F23" s="262">
        <f>F22*10%</f>
        <v>4278</v>
      </c>
      <c r="G23" s="263"/>
    </row>
    <row r="24" spans="1:10">
      <c r="A24" s="255" t="s">
        <v>20</v>
      </c>
      <c r="B24" s="255"/>
      <c r="F24" s="264">
        <f>F22+F23</f>
        <v>47058</v>
      </c>
      <c r="G24" s="265"/>
    </row>
    <row r="25" spans="1:10" ht="15.5" thickBot="1">
      <c r="A25" s="255" t="s">
        <v>21</v>
      </c>
      <c r="B25" s="255"/>
      <c r="F25" s="266">
        <f>F24*0.1</f>
        <v>4705.8</v>
      </c>
      <c r="G25" s="267"/>
    </row>
    <row r="26" spans="1:10" ht="15.5" thickBot="1">
      <c r="A26" s="255" t="s">
        <v>22</v>
      </c>
      <c r="B26" s="255"/>
      <c r="F26" s="365">
        <f>F24+F25</f>
        <v>51763.8</v>
      </c>
      <c r="G26" s="366"/>
    </row>
    <row r="27" spans="1:10">
      <c r="A27" s="255"/>
      <c r="C27" s="259"/>
      <c r="D27" s="259"/>
      <c r="E27" s="259"/>
      <c r="F27" s="259"/>
      <c r="G27" s="259"/>
    </row>
    <row r="28" spans="1:10" ht="15.5" thickBot="1">
      <c r="A28" s="255"/>
      <c r="C28" s="367"/>
      <c r="D28" s="367"/>
      <c r="E28" s="367"/>
      <c r="F28" s="367"/>
      <c r="G28" s="367"/>
    </row>
    <row r="29" spans="1:10">
      <c r="A29" s="268"/>
      <c r="B29" s="269"/>
      <c r="D29" s="270"/>
      <c r="F29" s="271" t="s">
        <v>23</v>
      </c>
      <c r="G29" s="272"/>
    </row>
    <row r="30" spans="1:10" ht="20.25" customHeight="1">
      <c r="A30" s="268"/>
      <c r="B30" s="269"/>
      <c r="D30" s="274"/>
      <c r="F30" s="275" t="s">
        <v>100</v>
      </c>
      <c r="G30" s="276"/>
    </row>
    <row r="31" spans="1:10" ht="15" customHeight="1">
      <c r="A31" s="268"/>
      <c r="B31" s="269"/>
      <c r="D31" s="274"/>
      <c r="F31" s="278"/>
      <c r="G31" s="279"/>
      <c r="I31" s="277"/>
      <c r="J31" s="277"/>
    </row>
    <row r="32" spans="1:10">
      <c r="A32" s="368" t="s">
        <v>24</v>
      </c>
      <c r="B32" s="368"/>
      <c r="D32" s="270"/>
      <c r="F32" s="280" t="s">
        <v>25</v>
      </c>
      <c r="G32" s="281"/>
      <c r="I32" s="273"/>
      <c r="J32" s="273"/>
    </row>
    <row r="33" spans="1:10">
      <c r="A33" s="232"/>
      <c r="B33" s="232"/>
      <c r="D33" s="282"/>
      <c r="F33" s="283"/>
      <c r="G33" s="284"/>
      <c r="I33" s="282"/>
      <c r="J33" s="282"/>
    </row>
    <row r="34" spans="1:10">
      <c r="A34" s="232"/>
      <c r="B34" s="232"/>
      <c r="D34" s="282"/>
      <c r="F34" s="278"/>
      <c r="G34" s="279"/>
      <c r="I34" s="282"/>
      <c r="J34" s="282"/>
    </row>
    <row r="35" spans="1:10" ht="15.5" thickBot="1">
      <c r="A35" s="369"/>
      <c r="B35" s="369"/>
      <c r="C35" s="285"/>
      <c r="D35" s="285"/>
      <c r="F35" s="286"/>
      <c r="G35" s="287"/>
    </row>
    <row r="36" spans="1:10">
      <c r="A36" s="268"/>
      <c r="B36" s="269"/>
      <c r="C36" s="285"/>
      <c r="D36" s="285"/>
      <c r="E36" s="282"/>
      <c r="F36" s="282"/>
      <c r="G36" s="282"/>
    </row>
    <row r="37" spans="1:10">
      <c r="C37" s="285"/>
      <c r="D37" s="285"/>
      <c r="E37" s="285"/>
      <c r="F37" s="285"/>
      <c r="G37" s="238"/>
    </row>
    <row r="38" spans="1:10">
      <c r="C38" s="285"/>
      <c r="D38" s="285"/>
      <c r="E38" s="285"/>
      <c r="F38" s="285"/>
      <c r="G38" s="238"/>
    </row>
    <row r="39" spans="1:10">
      <c r="C39" s="285"/>
      <c r="D39" s="285"/>
      <c r="E39" s="285"/>
      <c r="F39" s="285"/>
      <c r="G39" s="238"/>
    </row>
    <row r="40" spans="1:10">
      <c r="C40" s="285"/>
      <c r="D40" s="285"/>
      <c r="E40" s="285"/>
      <c r="F40" s="285"/>
      <c r="G40" s="238"/>
    </row>
    <row r="47" spans="1:10">
      <c r="A47" s="223"/>
      <c r="B47" s="224"/>
      <c r="G47" s="288"/>
    </row>
    <row r="49" spans="1:7">
      <c r="A49" s="223"/>
      <c r="B49" s="224"/>
      <c r="G49" s="288"/>
    </row>
    <row r="51" spans="1:7">
      <c r="A51" s="223"/>
      <c r="B51" s="224"/>
      <c r="G51" s="288"/>
    </row>
  </sheetData>
  <mergeCells count="6">
    <mergeCell ref="A35:B35"/>
    <mergeCell ref="A4:G4"/>
    <mergeCell ref="B12:E12"/>
    <mergeCell ref="F26:G26"/>
    <mergeCell ref="C28:G28"/>
    <mergeCell ref="A32:B32"/>
  </mergeCells>
  <phoneticPr fontId="81" type="noConversion"/>
  <pageMargins left="0.7" right="0.7" top="0.75" bottom="0.75" header="0.3" footer="0.3"/>
  <pageSetup paperSize="9" scale="6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E95D-BCD0-4EE0-B4F3-7871A95A9C8F}">
  <sheetPr>
    <tabColor rgb="FF92D050"/>
    <pageSetUpPr fitToPage="1"/>
  </sheetPr>
  <dimension ref="A1:J51"/>
  <sheetViews>
    <sheetView topLeftCell="A13" zoomScaleNormal="100" workbookViewId="0">
      <selection activeCell="F29" sqref="F29"/>
    </sheetView>
  </sheetViews>
  <sheetFormatPr defaultColWidth="8.81640625" defaultRowHeight="15"/>
  <cols>
    <col min="1" max="1" width="11.81640625" style="233" customWidth="1"/>
    <col min="2" max="2" width="56.81640625" style="259" customWidth="1"/>
    <col min="3" max="4" width="10.81640625" style="225" customWidth="1"/>
    <col min="5" max="5" width="13.81640625" style="225" bestFit="1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69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v>45972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30.5" thickBot="1">
      <c r="A11" s="235"/>
      <c r="B11" s="236" t="s">
        <v>130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 ht="30">
      <c r="A13" s="242"/>
      <c r="B13" s="338" t="s">
        <v>124</v>
      </c>
      <c r="C13" s="244" t="s">
        <v>12</v>
      </c>
      <c r="D13" s="244" t="s">
        <v>13</v>
      </c>
      <c r="E13" s="244" t="s">
        <v>14</v>
      </c>
      <c r="F13" s="245"/>
      <c r="G13" s="300"/>
    </row>
    <row r="14" spans="1:7">
      <c r="A14" s="339"/>
      <c r="B14" s="340"/>
      <c r="C14" s="341"/>
      <c r="D14" s="341"/>
      <c r="E14" s="341"/>
      <c r="F14" s="345"/>
      <c r="G14" s="346"/>
    </row>
    <row r="15" spans="1:7" ht="30">
      <c r="A15" s="247">
        <v>1</v>
      </c>
      <c r="B15" s="248" t="s">
        <v>83</v>
      </c>
      <c r="C15" s="249" t="s">
        <v>15</v>
      </c>
      <c r="D15" s="250" t="s">
        <v>16</v>
      </c>
      <c r="E15" s="250">
        <v>20912</v>
      </c>
      <c r="F15" s="251">
        <v>20912</v>
      </c>
      <c r="G15" s="246"/>
    </row>
    <row r="16" spans="1:7" ht="30">
      <c r="A16" s="247"/>
      <c r="B16" s="248" t="s">
        <v>84</v>
      </c>
      <c r="C16" s="249"/>
      <c r="D16" s="250"/>
      <c r="E16" s="252"/>
      <c r="F16" s="303">
        <v>0</v>
      </c>
      <c r="G16" s="301"/>
    </row>
    <row r="17" spans="1:10">
      <c r="A17" s="247"/>
      <c r="B17" s="248"/>
      <c r="C17" s="249"/>
      <c r="D17" s="250"/>
      <c r="E17" s="252"/>
      <c r="F17" s="303">
        <v>0</v>
      </c>
      <c r="G17" s="301"/>
    </row>
    <row r="18" spans="1:10">
      <c r="A18" s="247"/>
      <c r="B18" s="248" t="s">
        <v>94</v>
      </c>
      <c r="C18" s="249" t="s">
        <v>15</v>
      </c>
      <c r="D18" s="250" t="s">
        <v>16</v>
      </c>
      <c r="E18" s="252">
        <v>2000</v>
      </c>
      <c r="F18" s="303">
        <v>2000</v>
      </c>
      <c r="G18" s="301"/>
    </row>
    <row r="19" spans="1:10">
      <c r="A19" s="247"/>
      <c r="B19" s="248" t="s">
        <v>95</v>
      </c>
      <c r="C19" s="249" t="s">
        <v>15</v>
      </c>
      <c r="D19" s="250" t="s">
        <v>16</v>
      </c>
      <c r="E19" s="252">
        <v>15480</v>
      </c>
      <c r="F19" s="251">
        <v>15480</v>
      </c>
      <c r="G19" s="246"/>
    </row>
    <row r="20" spans="1:10" ht="15.5" thickBot="1">
      <c r="A20" s="292"/>
      <c r="B20" s="293"/>
      <c r="C20" s="294"/>
      <c r="D20" s="295"/>
      <c r="E20" s="296"/>
      <c r="F20" s="304"/>
      <c r="G20" s="305"/>
    </row>
    <row r="21" spans="1:10" ht="15.5" thickBot="1">
      <c r="A21" s="255" t="s">
        <v>17</v>
      </c>
      <c r="B21" s="256"/>
      <c r="C21" s="256"/>
      <c r="D21" s="256"/>
      <c r="F21" s="257">
        <f>SUM(F13:F20)</f>
        <v>38392</v>
      </c>
      <c r="G21" s="258">
        <f>SUM(G13:G20)</f>
        <v>0</v>
      </c>
    </row>
    <row r="22" spans="1:10">
      <c r="A22" s="255" t="s">
        <v>18</v>
      </c>
      <c r="F22" s="260">
        <f>F21-G21</f>
        <v>38392</v>
      </c>
      <c r="G22" s="261"/>
    </row>
    <row r="23" spans="1:10" ht="15" customHeight="1">
      <c r="A23" s="255" t="s">
        <v>19</v>
      </c>
      <c r="B23" s="255"/>
      <c r="F23" s="262">
        <f>F22*10%</f>
        <v>3839.2000000000003</v>
      </c>
      <c r="G23" s="263"/>
    </row>
    <row r="24" spans="1:10">
      <c r="A24" s="255" t="s">
        <v>20</v>
      </c>
      <c r="B24" s="255"/>
      <c r="F24" s="264">
        <f>F22+F23</f>
        <v>42231.199999999997</v>
      </c>
      <c r="G24" s="265"/>
    </row>
    <row r="25" spans="1:10" ht="15.5" thickBot="1">
      <c r="A25" s="255" t="s">
        <v>21</v>
      </c>
      <c r="B25" s="255"/>
      <c r="F25" s="266">
        <f>F24*0.1</f>
        <v>4223.12</v>
      </c>
      <c r="G25" s="267"/>
    </row>
    <row r="26" spans="1:10" ht="15.5" thickBot="1">
      <c r="A26" s="255" t="s">
        <v>22</v>
      </c>
      <c r="B26" s="255"/>
      <c r="F26" s="365">
        <f>F24+F25</f>
        <v>46454.32</v>
      </c>
      <c r="G26" s="366"/>
    </row>
    <row r="27" spans="1:10">
      <c r="A27" s="255"/>
      <c r="C27" s="259"/>
      <c r="D27" s="259"/>
      <c r="E27" s="259"/>
      <c r="F27" s="259"/>
      <c r="G27" s="259"/>
    </row>
    <row r="28" spans="1:10" ht="15.5" thickBot="1">
      <c r="A28" s="255"/>
      <c r="C28" s="367"/>
      <c r="D28" s="367"/>
      <c r="E28" s="367"/>
      <c r="F28" s="367"/>
      <c r="G28" s="367"/>
    </row>
    <row r="29" spans="1:10">
      <c r="A29" s="268"/>
      <c r="B29" s="269"/>
      <c r="D29" s="270"/>
      <c r="F29" s="271" t="s">
        <v>23</v>
      </c>
      <c r="G29" s="272"/>
    </row>
    <row r="30" spans="1:10" ht="20.25" customHeight="1">
      <c r="A30" s="268"/>
      <c r="B30" s="269"/>
      <c r="D30" s="274"/>
      <c r="F30" s="275" t="s">
        <v>100</v>
      </c>
      <c r="G30" s="276"/>
    </row>
    <row r="31" spans="1:10" ht="15" customHeight="1">
      <c r="A31" s="268"/>
      <c r="B31" s="269"/>
      <c r="D31" s="274"/>
      <c r="F31" s="278"/>
      <c r="G31" s="279"/>
      <c r="I31" s="277"/>
      <c r="J31" s="277"/>
    </row>
    <row r="32" spans="1:10">
      <c r="A32" s="368" t="s">
        <v>24</v>
      </c>
      <c r="B32" s="368"/>
      <c r="D32" s="270"/>
      <c r="F32" s="280" t="s">
        <v>25</v>
      </c>
      <c r="G32" s="281"/>
      <c r="I32" s="273"/>
      <c r="J32" s="273"/>
    </row>
    <row r="33" spans="1:10">
      <c r="A33" s="232"/>
      <c r="B33" s="232"/>
      <c r="D33" s="282"/>
      <c r="F33" s="283"/>
      <c r="G33" s="284"/>
      <c r="I33" s="282"/>
      <c r="J33" s="282"/>
    </row>
    <row r="34" spans="1:10">
      <c r="A34" s="232"/>
      <c r="B34" s="232"/>
      <c r="D34" s="282"/>
      <c r="F34" s="278"/>
      <c r="G34" s="279"/>
      <c r="I34" s="282"/>
      <c r="J34" s="282"/>
    </row>
    <row r="35" spans="1:10" ht="15.5" thickBot="1">
      <c r="A35" s="369"/>
      <c r="B35" s="369"/>
      <c r="C35" s="285"/>
      <c r="D35" s="285"/>
      <c r="F35" s="286"/>
      <c r="G35" s="287"/>
    </row>
    <row r="36" spans="1:10">
      <c r="A36" s="268"/>
      <c r="B36" s="269"/>
      <c r="C36" s="285"/>
      <c r="D36" s="285"/>
      <c r="E36" s="282"/>
      <c r="F36" s="282"/>
      <c r="G36" s="282"/>
    </row>
    <row r="37" spans="1:10">
      <c r="C37" s="285"/>
      <c r="D37" s="285"/>
      <c r="E37" s="285"/>
      <c r="F37" s="285"/>
      <c r="G37" s="238"/>
    </row>
    <row r="38" spans="1:10">
      <c r="C38" s="285"/>
      <c r="D38" s="285"/>
      <c r="E38" s="285"/>
      <c r="F38" s="285"/>
      <c r="G38" s="238"/>
    </row>
    <row r="39" spans="1:10">
      <c r="C39" s="285"/>
      <c r="D39" s="285"/>
      <c r="E39" s="285"/>
      <c r="F39" s="285"/>
      <c r="G39" s="238"/>
    </row>
    <row r="40" spans="1:10">
      <c r="C40" s="285"/>
      <c r="D40" s="285"/>
      <c r="E40" s="285"/>
      <c r="F40" s="285"/>
      <c r="G40" s="238"/>
    </row>
    <row r="47" spans="1:10">
      <c r="A47" s="223"/>
      <c r="B47" s="224"/>
      <c r="G47" s="288"/>
    </row>
    <row r="49" spans="1:7">
      <c r="A49" s="223"/>
      <c r="B49" s="224"/>
      <c r="G49" s="288"/>
    </row>
    <row r="51" spans="1:7">
      <c r="A51" s="223"/>
      <c r="B51" s="224"/>
      <c r="G51" s="288"/>
    </row>
  </sheetData>
  <mergeCells count="6">
    <mergeCell ref="A35:B35"/>
    <mergeCell ref="A4:G4"/>
    <mergeCell ref="B12:E12"/>
    <mergeCell ref="F26:G26"/>
    <mergeCell ref="C28:G28"/>
    <mergeCell ref="A32:B32"/>
  </mergeCells>
  <phoneticPr fontId="33" type="noConversion"/>
  <pageMargins left="0.25" right="0.25" top="0.75" bottom="0.75" header="0.3" footer="0.3"/>
  <pageSetup paperSize="9" scale="7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72FF-A70F-4ACC-A667-98D8732ABB9A}">
  <sheetPr>
    <tabColor rgb="FF92D050"/>
    <pageSetUpPr fitToPage="1"/>
  </sheetPr>
  <dimension ref="A1:J48"/>
  <sheetViews>
    <sheetView zoomScaleNormal="100" workbookViewId="0">
      <selection activeCell="H13" sqref="H13"/>
    </sheetView>
  </sheetViews>
  <sheetFormatPr defaultColWidth="8.81640625" defaultRowHeight="15"/>
  <cols>
    <col min="1" max="1" width="11.81640625" style="233" customWidth="1"/>
    <col min="2" max="2" width="56.81640625" style="259" customWidth="1"/>
    <col min="3" max="4" width="10.81640625" style="225" customWidth="1"/>
    <col min="5" max="5" width="12.1796875" style="225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69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f ca="1">TODAY()</f>
        <v>46187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30.5" thickBot="1">
      <c r="A11" s="235"/>
      <c r="B11" s="236" t="s">
        <v>87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>
      <c r="A13" s="242"/>
      <c r="B13" s="338" t="s">
        <v>125</v>
      </c>
      <c r="C13" s="244" t="s">
        <v>12</v>
      </c>
      <c r="D13" s="244" t="s">
        <v>13</v>
      </c>
      <c r="E13" s="244" t="s">
        <v>14</v>
      </c>
      <c r="F13" s="245"/>
      <c r="G13" s="300"/>
    </row>
    <row r="14" spans="1:7">
      <c r="A14" s="339"/>
      <c r="B14" s="347"/>
      <c r="C14" s="341"/>
      <c r="D14" s="341"/>
      <c r="E14" s="341"/>
      <c r="F14" s="345"/>
      <c r="G14" s="346"/>
    </row>
    <row r="15" spans="1:7" ht="30">
      <c r="A15" s="247">
        <v>1</v>
      </c>
      <c r="B15" s="248" t="s">
        <v>85</v>
      </c>
      <c r="C15" s="249" t="s">
        <v>15</v>
      </c>
      <c r="D15" s="250" t="s">
        <v>16</v>
      </c>
      <c r="E15" s="250">
        <v>15175</v>
      </c>
      <c r="F15" s="251">
        <f>SUM(E15*1)</f>
        <v>15175</v>
      </c>
      <c r="G15" s="246"/>
    </row>
    <row r="16" spans="1:7">
      <c r="A16" s="247">
        <v>2</v>
      </c>
      <c r="B16" s="248" t="s">
        <v>86</v>
      </c>
      <c r="C16" s="302" t="s">
        <v>15</v>
      </c>
      <c r="D16" s="252" t="s">
        <v>16</v>
      </c>
      <c r="E16" s="252">
        <f>1050+2590</f>
        <v>3640</v>
      </c>
      <c r="F16" s="251"/>
      <c r="G16" s="246">
        <f>C16*E16</f>
        <v>3640</v>
      </c>
    </row>
    <row r="17" spans="1:10" ht="15.5" thickBot="1">
      <c r="A17" s="292"/>
      <c r="B17" s="293"/>
      <c r="C17" s="294"/>
      <c r="D17" s="295"/>
      <c r="E17" s="296"/>
      <c r="F17" s="304"/>
      <c r="G17" s="305"/>
    </row>
    <row r="18" spans="1:10" ht="15.5" thickBot="1">
      <c r="A18" s="255" t="s">
        <v>17</v>
      </c>
      <c r="B18" s="256"/>
      <c r="C18" s="256"/>
      <c r="D18" s="256"/>
      <c r="F18" s="257">
        <f>SUM(F13:F17)</f>
        <v>15175</v>
      </c>
      <c r="G18" s="258">
        <f>SUM(G13:G17)</f>
        <v>3640</v>
      </c>
    </row>
    <row r="19" spans="1:10">
      <c r="A19" s="255" t="s">
        <v>18</v>
      </c>
      <c r="F19" s="260">
        <f>F18-G18</f>
        <v>11535</v>
      </c>
      <c r="G19" s="261"/>
    </row>
    <row r="20" spans="1:10" ht="15" customHeight="1">
      <c r="A20" s="255" t="s">
        <v>19</v>
      </c>
      <c r="B20" s="255"/>
      <c r="F20" s="262">
        <f>F19*10%</f>
        <v>1153.5</v>
      </c>
      <c r="G20" s="263"/>
    </row>
    <row r="21" spans="1:10">
      <c r="A21" s="255" t="s">
        <v>20</v>
      </c>
      <c r="B21" s="255"/>
      <c r="F21" s="264">
        <f>F19+F20</f>
        <v>12688.5</v>
      </c>
      <c r="G21" s="265"/>
    </row>
    <row r="22" spans="1:10" ht="15.5" thickBot="1">
      <c r="A22" s="255" t="s">
        <v>21</v>
      </c>
      <c r="B22" s="255"/>
      <c r="F22" s="266">
        <f>F21*0.1</f>
        <v>1268.8500000000001</v>
      </c>
      <c r="G22" s="267"/>
    </row>
    <row r="23" spans="1:10" ht="15.5" thickBot="1">
      <c r="A23" s="255" t="s">
        <v>22</v>
      </c>
      <c r="B23" s="255"/>
      <c r="F23" s="365">
        <f>F21+F22</f>
        <v>13957.35</v>
      </c>
      <c r="G23" s="366"/>
    </row>
    <row r="24" spans="1:10">
      <c r="A24" s="255"/>
      <c r="C24" s="259"/>
      <c r="D24" s="259"/>
      <c r="E24" s="259"/>
      <c r="F24" s="259"/>
      <c r="G24" s="259"/>
    </row>
    <row r="25" spans="1:10" ht="15.5" thickBot="1">
      <c r="A25" s="255"/>
      <c r="C25" s="367"/>
      <c r="D25" s="367"/>
      <c r="E25" s="367"/>
      <c r="F25" s="367"/>
      <c r="G25" s="367"/>
    </row>
    <row r="26" spans="1:10">
      <c r="A26" s="268"/>
      <c r="B26" s="269"/>
      <c r="D26" s="270"/>
      <c r="F26" s="271" t="s">
        <v>23</v>
      </c>
      <c r="G26" s="272"/>
      <c r="I26" s="273"/>
      <c r="J26" s="273"/>
    </row>
    <row r="27" spans="1:10" ht="20.25" customHeight="1">
      <c r="A27" s="268"/>
      <c r="B27" s="269"/>
      <c r="D27" s="274"/>
      <c r="F27" s="275" t="s">
        <v>100</v>
      </c>
      <c r="G27" s="276"/>
      <c r="I27" s="277"/>
      <c r="J27" s="277"/>
    </row>
    <row r="28" spans="1:10" ht="15" customHeight="1">
      <c r="A28" s="268"/>
      <c r="B28" s="269"/>
      <c r="D28" s="274"/>
      <c r="F28" s="278"/>
      <c r="G28" s="279"/>
      <c r="I28" s="277"/>
      <c r="J28" s="277"/>
    </row>
    <row r="29" spans="1:10">
      <c r="A29" s="368" t="s">
        <v>24</v>
      </c>
      <c r="B29" s="368"/>
      <c r="D29" s="270"/>
      <c r="F29" s="280" t="s">
        <v>25</v>
      </c>
      <c r="G29" s="281"/>
      <c r="I29" s="273"/>
      <c r="J29" s="273"/>
    </row>
    <row r="30" spans="1:10">
      <c r="A30" s="232"/>
      <c r="B30" s="232"/>
      <c r="D30" s="282"/>
      <c r="F30" s="283"/>
      <c r="G30" s="284"/>
      <c r="I30" s="282"/>
      <c r="J30" s="282"/>
    </row>
    <row r="31" spans="1:10">
      <c r="A31" s="232"/>
      <c r="B31" s="232"/>
      <c r="D31" s="282"/>
      <c r="F31" s="278"/>
      <c r="G31" s="279"/>
      <c r="I31" s="282"/>
      <c r="J31" s="282"/>
    </row>
    <row r="32" spans="1:10" ht="15.5" thickBot="1">
      <c r="A32" s="369"/>
      <c r="B32" s="369"/>
      <c r="C32" s="285"/>
      <c r="D32" s="285"/>
      <c r="F32" s="286"/>
      <c r="G32" s="287"/>
    </row>
    <row r="33" spans="1:7">
      <c r="A33" s="268"/>
      <c r="B33" s="269"/>
      <c r="C33" s="285"/>
      <c r="D33" s="285"/>
      <c r="E33" s="282"/>
      <c r="F33" s="282"/>
      <c r="G33" s="282"/>
    </row>
    <row r="34" spans="1:7">
      <c r="C34" s="285"/>
      <c r="D34" s="285"/>
      <c r="E34" s="285"/>
      <c r="F34" s="285"/>
      <c r="G34" s="238"/>
    </row>
    <row r="35" spans="1:7">
      <c r="C35" s="285"/>
      <c r="D35" s="285"/>
      <c r="E35" s="285"/>
      <c r="F35" s="285"/>
      <c r="G35" s="238"/>
    </row>
    <row r="36" spans="1:7">
      <c r="C36" s="285"/>
      <c r="D36" s="285"/>
      <c r="E36" s="285"/>
      <c r="F36" s="285"/>
      <c r="G36" s="238"/>
    </row>
    <row r="37" spans="1:7">
      <c r="C37" s="285"/>
      <c r="D37" s="285"/>
      <c r="E37" s="285"/>
      <c r="F37" s="285"/>
      <c r="G37" s="238"/>
    </row>
    <row r="44" spans="1:7">
      <c r="A44" s="223"/>
      <c r="B44" s="224"/>
      <c r="G44" s="288"/>
    </row>
    <row r="46" spans="1:7">
      <c r="A46" s="223"/>
      <c r="B46" s="224"/>
      <c r="G46" s="288"/>
    </row>
    <row r="48" spans="1:7">
      <c r="A48" s="223"/>
      <c r="B48" s="224"/>
      <c r="G48" s="288"/>
    </row>
  </sheetData>
  <mergeCells count="6">
    <mergeCell ref="A32:B32"/>
    <mergeCell ref="A4:G4"/>
    <mergeCell ref="B12:E12"/>
    <mergeCell ref="F23:G23"/>
    <mergeCell ref="C25:G25"/>
    <mergeCell ref="A29:B29"/>
  </mergeCells>
  <phoneticPr fontId="81" type="noConversion"/>
  <pageMargins left="0.25" right="0.25" top="0.75" bottom="0.75" header="0.3" footer="0.3"/>
  <pageSetup paperSize="9" scale="7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617A-0D4C-4967-8BA2-252815062EAE}">
  <sheetPr>
    <tabColor rgb="FF92D050"/>
    <pageSetUpPr fitToPage="1"/>
  </sheetPr>
  <dimension ref="A1:J47"/>
  <sheetViews>
    <sheetView zoomScaleNormal="100" workbookViewId="0">
      <selection activeCell="B34" sqref="B34"/>
    </sheetView>
  </sheetViews>
  <sheetFormatPr defaultColWidth="8.81640625" defaultRowHeight="15"/>
  <cols>
    <col min="1" max="1" width="11.81640625" style="233" customWidth="1"/>
    <col min="2" max="2" width="56.81640625" style="259" customWidth="1"/>
    <col min="3" max="4" width="10.81640625" style="225" customWidth="1"/>
    <col min="5" max="5" width="12.1796875" style="225" customWidth="1"/>
    <col min="6" max="6" width="17.26953125" style="225" customWidth="1"/>
    <col min="7" max="7" width="15.2695312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69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162"/>
      <c r="F5" s="162"/>
      <c r="G5" s="5"/>
    </row>
    <row r="6" spans="1:7">
      <c r="A6" s="227" t="s">
        <v>1</v>
      </c>
      <c r="B6" s="228" t="s">
        <v>61</v>
      </c>
      <c r="D6" s="229"/>
      <c r="E6" s="229"/>
      <c r="F6" s="229" t="s">
        <v>2</v>
      </c>
      <c r="G6" s="230">
        <v>46087</v>
      </c>
    </row>
    <row r="7" spans="1:7">
      <c r="A7" s="227" t="s">
        <v>3</v>
      </c>
      <c r="B7" s="228" t="s">
        <v>4</v>
      </c>
      <c r="D7" s="231"/>
      <c r="E7" s="231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232"/>
      <c r="F9" s="232"/>
    </row>
    <row r="10" spans="1:7">
      <c r="B10" s="234"/>
      <c r="C10" s="232"/>
      <c r="D10" s="232"/>
      <c r="E10" s="232"/>
      <c r="F10" s="232"/>
    </row>
    <row r="11" spans="1:7" ht="30.5" thickBot="1">
      <c r="A11" s="235"/>
      <c r="B11" s="236" t="s">
        <v>126</v>
      </c>
      <c r="C11" s="237"/>
      <c r="D11" s="237"/>
      <c r="E11" s="237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>
      <c r="A13" s="242"/>
      <c r="B13" s="243"/>
      <c r="C13" s="244" t="s">
        <v>12</v>
      </c>
      <c r="D13" s="244" t="s">
        <v>13</v>
      </c>
      <c r="E13" s="244" t="s">
        <v>14</v>
      </c>
      <c r="F13" s="245"/>
      <c r="G13" s="300"/>
    </row>
    <row r="14" spans="1:7" ht="174" customHeight="1">
      <c r="A14" s="247">
        <v>1</v>
      </c>
      <c r="B14"/>
      <c r="C14" s="249" t="s">
        <v>15</v>
      </c>
      <c r="D14" s="250" t="s">
        <v>16</v>
      </c>
      <c r="E14" s="250">
        <v>9165</v>
      </c>
      <c r="F14" s="251">
        <f>SUM(E14*1)</f>
        <v>9165</v>
      </c>
      <c r="G14" s="246"/>
    </row>
    <row r="15" spans="1:7" ht="19.149999999999999" customHeight="1">
      <c r="A15" s="247">
        <v>2</v>
      </c>
      <c r="B15" s="248" t="s">
        <v>96</v>
      </c>
      <c r="C15" s="302" t="s">
        <v>15</v>
      </c>
      <c r="D15" s="252" t="s">
        <v>16</v>
      </c>
      <c r="E15" s="252" t="s">
        <v>97</v>
      </c>
      <c r="F15" s="303" t="s">
        <v>97</v>
      </c>
      <c r="G15" s="301"/>
    </row>
    <row r="16" spans="1:7" ht="18" customHeight="1" thickBot="1">
      <c r="A16" s="292">
        <v>3</v>
      </c>
      <c r="B16" s="293" t="s">
        <v>98</v>
      </c>
      <c r="C16" s="294" t="s">
        <v>15</v>
      </c>
      <c r="D16" s="295" t="s">
        <v>99</v>
      </c>
      <c r="E16" s="296">
        <v>500</v>
      </c>
      <c r="F16" s="304">
        <v>500</v>
      </c>
      <c r="G16" s="305"/>
    </row>
    <row r="17" spans="1:10" ht="15.5" thickBot="1">
      <c r="A17" s="255" t="s">
        <v>17</v>
      </c>
      <c r="B17" s="256"/>
      <c r="C17" s="256"/>
      <c r="D17" s="256"/>
      <c r="F17" s="257">
        <f>SUM(F13:F16)</f>
        <v>9665</v>
      </c>
      <c r="G17" s="258">
        <f>SUM(G13:G16)</f>
        <v>0</v>
      </c>
    </row>
    <row r="18" spans="1:10">
      <c r="A18" s="255" t="s">
        <v>18</v>
      </c>
      <c r="F18" s="260">
        <f>F17-G17</f>
        <v>9665</v>
      </c>
      <c r="G18" s="261"/>
    </row>
    <row r="19" spans="1:10" ht="15" customHeight="1">
      <c r="A19" s="255" t="s">
        <v>19</v>
      </c>
      <c r="B19" s="255"/>
      <c r="F19" s="262">
        <f>F18*10%</f>
        <v>966.5</v>
      </c>
      <c r="G19" s="263"/>
    </row>
    <row r="20" spans="1:10">
      <c r="A20" s="255" t="s">
        <v>20</v>
      </c>
      <c r="B20" s="255"/>
      <c r="F20" s="264">
        <f>F18+F19</f>
        <v>10631.5</v>
      </c>
      <c r="G20" s="265"/>
    </row>
    <row r="21" spans="1:10" ht="15.5" thickBot="1">
      <c r="A21" s="255" t="s">
        <v>21</v>
      </c>
      <c r="B21" s="255"/>
      <c r="F21" s="266">
        <f>F20*0.1</f>
        <v>1063.1500000000001</v>
      </c>
      <c r="G21" s="267"/>
    </row>
    <row r="22" spans="1:10" ht="15.5" thickBot="1">
      <c r="A22" s="255" t="s">
        <v>22</v>
      </c>
      <c r="B22" s="255"/>
      <c r="F22" s="365">
        <f>F20+F21</f>
        <v>11694.65</v>
      </c>
      <c r="G22" s="366"/>
    </row>
    <row r="23" spans="1:10">
      <c r="A23" s="255"/>
      <c r="C23" s="259"/>
      <c r="D23" s="259"/>
      <c r="E23" s="259"/>
      <c r="F23" s="259"/>
      <c r="G23" s="259"/>
    </row>
    <row r="24" spans="1:10" ht="15.5" thickBot="1">
      <c r="A24" s="255"/>
      <c r="C24" s="367"/>
      <c r="D24" s="367"/>
      <c r="E24" s="367"/>
      <c r="F24" s="367"/>
      <c r="G24" s="367"/>
    </row>
    <row r="25" spans="1:10">
      <c r="A25" s="268"/>
      <c r="B25" s="269"/>
      <c r="D25" s="270"/>
      <c r="F25" s="271" t="s">
        <v>23</v>
      </c>
      <c r="G25" s="272"/>
      <c r="I25" s="273"/>
      <c r="J25" s="273"/>
    </row>
    <row r="26" spans="1:10" ht="20.25" customHeight="1">
      <c r="A26" s="268"/>
      <c r="B26" s="269"/>
      <c r="D26" s="274"/>
      <c r="F26" s="275" t="s">
        <v>100</v>
      </c>
      <c r="G26" s="276"/>
      <c r="I26" s="277"/>
      <c r="J26" s="277"/>
    </row>
    <row r="27" spans="1:10" ht="15" customHeight="1">
      <c r="A27" s="268"/>
      <c r="B27" s="269"/>
      <c r="D27" s="274"/>
      <c r="F27" s="278" t="s">
        <v>101</v>
      </c>
      <c r="G27" s="279"/>
      <c r="I27" s="277"/>
      <c r="J27" s="277"/>
    </row>
    <row r="28" spans="1:10">
      <c r="A28" s="368" t="s">
        <v>24</v>
      </c>
      <c r="B28" s="368"/>
      <c r="D28" s="270"/>
      <c r="F28" s="280" t="s">
        <v>25</v>
      </c>
      <c r="G28" s="281"/>
      <c r="I28" s="273"/>
      <c r="J28" s="273"/>
    </row>
    <row r="29" spans="1:10" ht="17.5">
      <c r="A29" s="232"/>
      <c r="B29" s="232"/>
      <c r="D29" s="282"/>
      <c r="F29" s="275"/>
      <c r="G29" s="348"/>
      <c r="I29" s="282"/>
      <c r="J29" s="282"/>
    </row>
    <row r="30" spans="1:10">
      <c r="A30" s="232"/>
      <c r="B30" s="232"/>
      <c r="D30" s="282"/>
      <c r="F30" s="278"/>
      <c r="G30" s="279"/>
      <c r="I30" s="282"/>
      <c r="J30" s="282"/>
    </row>
    <row r="31" spans="1:10" ht="15.5" thickBot="1">
      <c r="A31" s="369"/>
      <c r="B31" s="369"/>
      <c r="C31" s="285"/>
      <c r="D31" s="285"/>
      <c r="F31" s="286"/>
      <c r="G31" s="287"/>
    </row>
    <row r="32" spans="1:10">
      <c r="A32" s="268"/>
      <c r="B32" s="269"/>
      <c r="C32" s="285"/>
      <c r="D32" s="285"/>
      <c r="E32" s="282"/>
      <c r="F32" s="282"/>
      <c r="G32" s="282"/>
    </row>
    <row r="33" spans="1:7">
      <c r="C33" s="285"/>
      <c r="D33" s="285"/>
      <c r="E33" s="285"/>
      <c r="F33" s="285"/>
      <c r="G33" s="238"/>
    </row>
    <row r="34" spans="1:7">
      <c r="C34" s="285"/>
      <c r="D34" s="285"/>
      <c r="E34" s="285"/>
      <c r="F34" s="285"/>
      <c r="G34" s="238"/>
    </row>
    <row r="35" spans="1:7">
      <c r="C35" s="285"/>
      <c r="D35" s="285"/>
      <c r="E35" s="285"/>
      <c r="F35" s="285"/>
      <c r="G35" s="238"/>
    </row>
    <row r="36" spans="1:7">
      <c r="C36" s="285"/>
      <c r="D36" s="285"/>
      <c r="E36" s="285"/>
      <c r="F36" s="285"/>
      <c r="G36" s="238"/>
    </row>
    <row r="43" spans="1:7">
      <c r="A43" s="223"/>
      <c r="B43" s="224"/>
      <c r="G43" s="288"/>
    </row>
    <row r="45" spans="1:7">
      <c r="A45" s="223"/>
      <c r="B45" s="224"/>
      <c r="G45" s="288"/>
    </row>
    <row r="47" spans="1:7">
      <c r="A47" s="223"/>
      <c r="B47" s="224"/>
      <c r="G47" s="288"/>
    </row>
  </sheetData>
  <mergeCells count="6">
    <mergeCell ref="A31:B31"/>
    <mergeCell ref="A4:G4"/>
    <mergeCell ref="B12:E12"/>
    <mergeCell ref="F22:G22"/>
    <mergeCell ref="C24:G24"/>
    <mergeCell ref="A28:B28"/>
  </mergeCells>
  <phoneticPr fontId="81" type="noConversion"/>
  <pageMargins left="0.7" right="0.7" top="0.75" bottom="0.75" header="0.3" footer="0.3"/>
  <pageSetup paperSize="9" scale="6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4215-2CA4-4BA0-B755-C93EDE5ED228}">
  <sheetPr>
    <tabColor rgb="FF92D050"/>
    <pageSetUpPr fitToPage="1"/>
  </sheetPr>
  <dimension ref="A1:J77"/>
  <sheetViews>
    <sheetView topLeftCell="A6" zoomScaleNormal="100" workbookViewId="0">
      <selection activeCell="F29" sqref="F29"/>
    </sheetView>
  </sheetViews>
  <sheetFormatPr defaultRowHeight="14"/>
  <cols>
    <col min="1" max="1" width="11.81640625" style="22" customWidth="1"/>
    <col min="2" max="2" width="57.26953125" style="23" customWidth="1"/>
    <col min="3" max="4" width="10.81640625" customWidth="1"/>
    <col min="5" max="5" width="12.1796875" customWidth="1"/>
    <col min="6" max="6" width="13.54296875" customWidth="1"/>
    <col min="7" max="7" width="13.54296875" style="3" customWidth="1"/>
    <col min="10" max="10" width="10.54296875" bestFit="1" customWidth="1"/>
    <col min="11" max="11" width="25.7265625" customWidth="1"/>
  </cols>
  <sheetData>
    <row r="1" spans="1:10" ht="17.5">
      <c r="A1" s="1"/>
      <c r="B1" s="2"/>
    </row>
    <row r="2" spans="1:10" ht="17.5">
      <c r="A2" s="1"/>
      <c r="B2" s="2"/>
    </row>
    <row r="4" spans="1:10" ht="15">
      <c r="A4" s="370" t="s">
        <v>0</v>
      </c>
      <c r="B4" s="370"/>
      <c r="C4" s="370"/>
      <c r="D4" s="370"/>
      <c r="E4" s="370"/>
      <c r="F4" s="370"/>
      <c r="G4" s="370"/>
    </row>
    <row r="5" spans="1:10" ht="15">
      <c r="A5" s="4"/>
      <c r="B5" s="24"/>
      <c r="C5" s="162"/>
      <c r="D5" s="162"/>
      <c r="E5" s="162"/>
      <c r="F5" s="162"/>
      <c r="G5" s="5"/>
    </row>
    <row r="6" spans="1:10">
      <c r="A6" s="91" t="s">
        <v>1</v>
      </c>
      <c r="B6" s="92" t="str">
        <f>Register!B4</f>
        <v>ARCO</v>
      </c>
      <c r="C6" s="93"/>
      <c r="D6" s="94"/>
      <c r="E6" s="94"/>
      <c r="F6" s="94" t="s">
        <v>2</v>
      </c>
      <c r="G6" s="25">
        <f ca="1">TODAY()</f>
        <v>46187</v>
      </c>
    </row>
    <row r="7" spans="1:10">
      <c r="A7" s="91" t="s">
        <v>3</v>
      </c>
      <c r="B7" s="92" t="s">
        <v>4</v>
      </c>
      <c r="C7" s="93"/>
      <c r="D7" s="95"/>
      <c r="E7" s="95"/>
      <c r="F7" s="95" t="s">
        <v>5</v>
      </c>
      <c r="G7" s="96"/>
    </row>
    <row r="8" spans="1:10">
      <c r="A8" s="91" t="s">
        <v>6</v>
      </c>
      <c r="B8" s="92" t="str">
        <f>Register!B5</f>
        <v>22 - 24 Hood St, Subiaco</v>
      </c>
      <c r="C8" s="93"/>
      <c r="D8" s="93"/>
      <c r="E8" s="93"/>
      <c r="F8" s="93"/>
      <c r="G8" s="96"/>
    </row>
    <row r="9" spans="1:10">
      <c r="A9" s="91" t="s">
        <v>7</v>
      </c>
      <c r="B9" s="92">
        <f>Register!B3</f>
        <v>1504</v>
      </c>
      <c r="C9" s="97"/>
      <c r="D9" s="97"/>
      <c r="E9" s="97"/>
      <c r="F9" s="97"/>
      <c r="G9" s="96"/>
    </row>
    <row r="10" spans="1:10">
      <c r="A10" s="98"/>
      <c r="B10" s="99"/>
      <c r="C10" s="97"/>
      <c r="D10" s="97"/>
      <c r="E10" s="97"/>
      <c r="F10" s="97"/>
      <c r="G10" s="96"/>
    </row>
    <row r="11" spans="1:10" ht="26.5" thickBot="1">
      <c r="A11" s="100"/>
      <c r="B11" s="101" t="s">
        <v>127</v>
      </c>
      <c r="C11" s="102"/>
      <c r="D11" s="102"/>
      <c r="E11" s="102"/>
      <c r="F11" s="102"/>
      <c r="G11" s="103"/>
    </row>
    <row r="12" spans="1:10" ht="14.5" thickBot="1">
      <c r="A12" s="104" t="s">
        <v>8</v>
      </c>
      <c r="B12" s="379" t="s">
        <v>9</v>
      </c>
      <c r="C12" s="380"/>
      <c r="D12" s="380"/>
      <c r="E12" s="381"/>
      <c r="F12" s="105" t="s">
        <v>10</v>
      </c>
      <c r="G12" s="106" t="s">
        <v>11</v>
      </c>
    </row>
    <row r="13" spans="1:10">
      <c r="A13" s="107"/>
      <c r="B13" s="108"/>
      <c r="C13" s="112" t="s">
        <v>12</v>
      </c>
      <c r="D13" s="112" t="s">
        <v>13</v>
      </c>
      <c r="E13" s="185" t="s">
        <v>14</v>
      </c>
      <c r="F13" s="164"/>
      <c r="G13" s="165"/>
      <c r="H13" s="184"/>
      <c r="I13" s="184"/>
    </row>
    <row r="14" spans="1:10">
      <c r="A14" s="109">
        <v>1</v>
      </c>
      <c r="B14" s="82" t="s">
        <v>102</v>
      </c>
      <c r="C14" s="152" t="s">
        <v>15</v>
      </c>
      <c r="D14" s="150" t="s">
        <v>8</v>
      </c>
      <c r="E14" s="84" t="s">
        <v>128</v>
      </c>
      <c r="F14" s="166" t="str">
        <f>E14</f>
        <v>TBA</v>
      </c>
      <c r="G14" s="172"/>
      <c r="J14" s="188"/>
    </row>
    <row r="15" spans="1:10">
      <c r="A15" s="109">
        <v>2</v>
      </c>
      <c r="B15" s="82" t="s">
        <v>103</v>
      </c>
      <c r="C15" s="152" t="s">
        <v>15</v>
      </c>
      <c r="D15" s="150" t="s">
        <v>16</v>
      </c>
      <c r="E15" s="150" t="s">
        <v>128</v>
      </c>
      <c r="F15" s="166" t="str">
        <f>E15</f>
        <v>TBA</v>
      </c>
      <c r="G15" s="172"/>
      <c r="I15" s="186"/>
      <c r="J15" s="188"/>
    </row>
    <row r="16" spans="1:10">
      <c r="A16" s="109"/>
      <c r="B16" s="82"/>
      <c r="C16" s="152"/>
      <c r="D16" s="150"/>
      <c r="E16" s="150"/>
      <c r="F16" s="166">
        <f>E16</f>
        <v>0</v>
      </c>
      <c r="G16" s="172">
        <f t="shared" ref="G16" si="0">E16</f>
        <v>0</v>
      </c>
      <c r="I16" s="186"/>
      <c r="J16" s="186"/>
    </row>
    <row r="17" spans="1:7">
      <c r="A17" s="109"/>
      <c r="B17" s="82"/>
      <c r="C17" s="152"/>
      <c r="D17" s="150"/>
      <c r="E17" s="84"/>
      <c r="F17" s="166"/>
      <c r="G17" s="167"/>
    </row>
    <row r="18" spans="1:7">
      <c r="A18" s="109"/>
      <c r="B18" s="82"/>
      <c r="C18" s="152"/>
      <c r="D18" s="150"/>
      <c r="E18" s="84"/>
      <c r="F18" s="166"/>
      <c r="G18" s="172"/>
    </row>
    <row r="19" spans="1:7">
      <c r="A19" s="109"/>
      <c r="B19" s="82"/>
      <c r="C19" s="152"/>
      <c r="D19" s="150"/>
      <c r="E19" s="150"/>
      <c r="F19" s="166"/>
      <c r="G19" s="167"/>
    </row>
    <row r="20" spans="1:7">
      <c r="A20" s="109"/>
      <c r="B20" s="82"/>
      <c r="C20" s="152"/>
      <c r="D20" s="150"/>
      <c r="E20" s="150"/>
      <c r="F20" s="166"/>
      <c r="G20" s="167"/>
    </row>
    <row r="21" spans="1:7">
      <c r="A21" s="109"/>
      <c r="B21" s="82"/>
      <c r="C21" s="152"/>
      <c r="D21" s="150"/>
      <c r="E21" s="150"/>
      <c r="F21" s="166"/>
      <c r="G21" s="172"/>
    </row>
    <row r="22" spans="1:7">
      <c r="A22" s="109"/>
      <c r="B22" s="82"/>
      <c r="C22" s="152"/>
      <c r="D22" s="150"/>
      <c r="E22" s="84"/>
      <c r="F22" s="166"/>
      <c r="G22" s="172"/>
    </row>
    <row r="23" spans="1:7">
      <c r="A23" s="109"/>
      <c r="B23" s="82"/>
      <c r="C23" s="152"/>
      <c r="D23" s="150"/>
      <c r="E23" s="84"/>
      <c r="F23" s="166"/>
      <c r="G23" s="172"/>
    </row>
    <row r="24" spans="1:7" ht="15" customHeight="1">
      <c r="A24" s="109"/>
      <c r="B24" s="82"/>
      <c r="C24" s="152"/>
      <c r="D24" s="150"/>
      <c r="E24" s="84"/>
      <c r="F24" s="166"/>
      <c r="G24" s="172"/>
    </row>
    <row r="25" spans="1:7">
      <c r="A25" s="109"/>
      <c r="B25" s="82"/>
      <c r="C25" s="152"/>
      <c r="D25" s="150"/>
      <c r="E25" s="84"/>
      <c r="F25" s="166"/>
      <c r="G25" s="167"/>
    </row>
    <row r="26" spans="1:7">
      <c r="A26" s="109"/>
      <c r="B26" s="82"/>
      <c r="C26" s="152"/>
      <c r="D26" s="150"/>
      <c r="E26" s="84"/>
      <c r="F26" s="166"/>
      <c r="G26" s="167"/>
    </row>
    <row r="27" spans="1:7">
      <c r="A27" s="109"/>
      <c r="B27" s="82"/>
      <c r="C27" s="152"/>
      <c r="D27" s="150"/>
      <c r="E27" s="174"/>
      <c r="F27" s="166"/>
      <c r="G27" s="173"/>
    </row>
    <row r="28" spans="1:7">
      <c r="A28" s="109"/>
      <c r="B28" s="82"/>
      <c r="C28" s="83"/>
      <c r="D28" s="85"/>
      <c r="E28" s="84"/>
      <c r="F28" s="169"/>
      <c r="G28" s="167"/>
    </row>
    <row r="29" spans="1:7">
      <c r="A29" s="110"/>
      <c r="B29" s="82"/>
      <c r="C29" s="83"/>
      <c r="D29" s="86"/>
      <c r="E29" s="84"/>
      <c r="F29" s="175"/>
      <c r="G29" s="167"/>
    </row>
    <row r="30" spans="1:7">
      <c r="A30" s="109"/>
      <c r="B30" s="82"/>
      <c r="C30" s="83"/>
      <c r="D30" s="84"/>
      <c r="E30" s="84"/>
      <c r="F30" s="168"/>
      <c r="G30" s="167"/>
    </row>
    <row r="31" spans="1:7">
      <c r="A31" s="109"/>
      <c r="B31" s="82"/>
      <c r="C31" s="83"/>
      <c r="D31" s="84"/>
      <c r="E31" s="84"/>
      <c r="F31" s="168"/>
      <c r="G31" s="167"/>
    </row>
    <row r="32" spans="1:7">
      <c r="A32" s="109"/>
      <c r="B32" s="82"/>
      <c r="C32" s="83"/>
      <c r="D32" s="84"/>
      <c r="E32" s="84"/>
      <c r="F32" s="168"/>
      <c r="G32" s="167"/>
    </row>
    <row r="33" spans="1:7">
      <c r="A33" s="109"/>
      <c r="B33" s="82"/>
      <c r="C33" s="83"/>
      <c r="D33" s="84"/>
      <c r="E33" s="84"/>
      <c r="F33" s="168"/>
      <c r="G33" s="167"/>
    </row>
    <row r="34" spans="1:7">
      <c r="A34" s="109"/>
      <c r="B34" s="82"/>
      <c r="C34" s="83"/>
      <c r="D34" s="84"/>
      <c r="E34" s="84"/>
      <c r="F34" s="168"/>
      <c r="G34" s="167"/>
    </row>
    <row r="35" spans="1:7">
      <c r="A35" s="109"/>
      <c r="B35" s="82"/>
      <c r="C35" s="83"/>
      <c r="D35" s="84"/>
      <c r="E35" s="84"/>
      <c r="F35" s="168"/>
      <c r="G35" s="167"/>
    </row>
    <row r="36" spans="1:7">
      <c r="A36" s="109"/>
      <c r="B36" s="82"/>
      <c r="C36" s="83"/>
      <c r="D36" s="84"/>
      <c r="E36" s="84"/>
      <c r="F36" s="168"/>
      <c r="G36" s="167"/>
    </row>
    <row r="37" spans="1:7">
      <c r="A37" s="110"/>
      <c r="B37" s="82"/>
      <c r="C37" s="83"/>
      <c r="D37" s="84"/>
      <c r="E37" s="84"/>
      <c r="F37" s="168"/>
      <c r="G37" s="167"/>
    </row>
    <row r="38" spans="1:7">
      <c r="A38" s="109"/>
      <c r="B38" s="82"/>
      <c r="C38" s="83"/>
      <c r="D38" s="84"/>
      <c r="E38" s="84"/>
      <c r="F38" s="168"/>
      <c r="G38" s="167"/>
    </row>
    <row r="39" spans="1:7">
      <c r="A39" s="109"/>
      <c r="B39" s="82"/>
      <c r="C39" s="83"/>
      <c r="D39" s="84"/>
      <c r="E39" s="84"/>
      <c r="F39" s="168"/>
      <c r="G39" s="167"/>
    </row>
    <row r="40" spans="1:7" ht="14.5" thickBot="1">
      <c r="A40" s="111"/>
      <c r="B40" s="87"/>
      <c r="C40" s="88"/>
      <c r="D40" s="89"/>
      <c r="E40" s="90"/>
      <c r="F40" s="170"/>
      <c r="G40" s="171"/>
    </row>
    <row r="41" spans="1:7" ht="14.5" thickBot="1">
      <c r="A41" s="163" t="s">
        <v>17</v>
      </c>
      <c r="B41" s="8"/>
      <c r="C41" s="8"/>
      <c r="D41" s="8"/>
      <c r="F41" s="151">
        <f>SUM(F13:F40)</f>
        <v>0</v>
      </c>
      <c r="G41" s="180">
        <f>SUM(G13:G40)</f>
        <v>0</v>
      </c>
    </row>
    <row r="42" spans="1:7">
      <c r="A42" s="163" t="s">
        <v>18</v>
      </c>
      <c r="F42" s="209">
        <f>SUM(F41)</f>
        <v>0</v>
      </c>
      <c r="G42" s="210"/>
    </row>
    <row r="43" spans="1:7" ht="15" customHeight="1">
      <c r="A43" s="163" t="s">
        <v>19</v>
      </c>
      <c r="B43" s="163"/>
      <c r="F43" s="211">
        <f>F42*10%</f>
        <v>0</v>
      </c>
      <c r="G43" s="218"/>
    </row>
    <row r="44" spans="1:7">
      <c r="A44" s="163" t="s">
        <v>20</v>
      </c>
      <c r="B44" s="163"/>
      <c r="F44" s="221">
        <f>F42+F43</f>
        <v>0</v>
      </c>
      <c r="G44" s="219"/>
    </row>
    <row r="45" spans="1:7" ht="14.5" thickBot="1">
      <c r="A45" s="163" t="s">
        <v>21</v>
      </c>
      <c r="B45" s="163"/>
      <c r="F45" s="212">
        <f>F44*0.1</f>
        <v>0</v>
      </c>
      <c r="G45" s="213"/>
    </row>
    <row r="46" spans="1:7" ht="14.5" thickBot="1">
      <c r="A46" s="163" t="s">
        <v>22</v>
      </c>
      <c r="B46" s="163"/>
      <c r="F46" s="374">
        <f>F44+F45</f>
        <v>0</v>
      </c>
      <c r="G46" s="375"/>
    </row>
    <row r="47" spans="1:7">
      <c r="A47" s="163"/>
      <c r="C47" s="23"/>
      <c r="D47" s="23"/>
      <c r="E47" s="23"/>
      <c r="F47" s="23"/>
      <c r="G47" s="23"/>
    </row>
    <row r="48" spans="1:7" ht="14.5" thickBot="1">
      <c r="A48" s="163"/>
      <c r="C48" s="376"/>
      <c r="D48" s="376"/>
      <c r="E48" s="376"/>
      <c r="F48" s="376"/>
      <c r="G48" s="376"/>
    </row>
    <row r="49" spans="1:10">
      <c r="A49" s="34"/>
      <c r="B49" s="9"/>
      <c r="D49" s="29"/>
      <c r="F49" s="35" t="s">
        <v>23</v>
      </c>
      <c r="G49" s="36"/>
      <c r="I49" s="10"/>
      <c r="J49" s="10"/>
    </row>
    <row r="50" spans="1:10" ht="20.25" customHeight="1">
      <c r="A50" s="34"/>
      <c r="B50" s="9"/>
      <c r="D50" s="27"/>
      <c r="F50" s="136" t="s">
        <v>100</v>
      </c>
      <c r="G50" s="28"/>
      <c r="I50" s="11"/>
      <c r="J50" s="11"/>
    </row>
    <row r="51" spans="1:10" ht="15" customHeight="1">
      <c r="A51" s="34"/>
      <c r="B51" s="9"/>
      <c r="D51" s="27"/>
      <c r="F51" s="38"/>
      <c r="G51" s="12"/>
      <c r="I51" s="11"/>
      <c r="J51" s="11"/>
    </row>
    <row r="52" spans="1:10">
      <c r="A52" s="377" t="s">
        <v>24</v>
      </c>
      <c r="B52" s="377"/>
      <c r="D52" s="29"/>
      <c r="F52" s="30" t="s">
        <v>25</v>
      </c>
      <c r="G52" s="31"/>
      <c r="I52" s="10"/>
      <c r="J52" s="10"/>
    </row>
    <row r="53" spans="1:10">
      <c r="A53" s="26"/>
      <c r="B53" s="26"/>
      <c r="D53" s="13"/>
      <c r="F53" s="32"/>
      <c r="G53" s="37"/>
      <c r="I53" s="13"/>
      <c r="J53" s="13"/>
    </row>
    <row r="54" spans="1:10">
      <c r="A54" s="26"/>
      <c r="B54" s="26"/>
      <c r="D54" s="13"/>
      <c r="F54" s="38"/>
      <c r="G54" s="12"/>
      <c r="I54" s="13"/>
      <c r="J54" s="13"/>
    </row>
    <row r="55" spans="1:10" ht="14.5" thickBot="1">
      <c r="A55" s="378"/>
      <c r="B55" s="378"/>
      <c r="C55" s="15"/>
      <c r="D55" s="15"/>
      <c r="F55" s="14"/>
      <c r="G55" s="33"/>
    </row>
    <row r="56" spans="1:10">
      <c r="A56" s="34"/>
      <c r="B56" s="9"/>
      <c r="C56" s="15"/>
      <c r="D56" s="15"/>
      <c r="E56" s="13"/>
      <c r="F56" s="13"/>
      <c r="G56" s="13"/>
    </row>
    <row r="57" spans="1:10">
      <c r="C57" s="15"/>
      <c r="D57" s="15"/>
      <c r="E57" s="15"/>
      <c r="F57" s="15"/>
      <c r="G57" s="16"/>
    </row>
    <row r="58" spans="1:10">
      <c r="C58" s="15"/>
      <c r="D58" s="15"/>
      <c r="E58" s="15"/>
      <c r="F58" s="15"/>
      <c r="G58" s="16"/>
    </row>
    <row r="59" spans="1:10">
      <c r="C59" s="15"/>
      <c r="D59" s="15"/>
      <c r="E59" s="15"/>
      <c r="F59" s="15"/>
      <c r="G59" s="16"/>
    </row>
    <row r="60" spans="1:10">
      <c r="C60" s="15"/>
      <c r="D60" s="15"/>
      <c r="E60" s="15"/>
      <c r="F60" s="15"/>
      <c r="G60" s="16"/>
    </row>
    <row r="61" spans="1:10">
      <c r="A61" s="17"/>
      <c r="B61" s="18"/>
      <c r="C61" s="6"/>
      <c r="D61" s="6"/>
      <c r="E61" s="6"/>
      <c r="F61" s="6"/>
      <c r="G61" s="7"/>
    </row>
    <row r="62" spans="1:10">
      <c r="A62" s="17"/>
      <c r="B62" s="18"/>
      <c r="C62" s="6"/>
      <c r="D62" s="6"/>
      <c r="E62" s="6"/>
      <c r="F62" s="6"/>
      <c r="G62" s="7"/>
    </row>
    <row r="63" spans="1:10">
      <c r="A63" s="17"/>
      <c r="B63" s="18"/>
      <c r="C63" s="6"/>
      <c r="D63" s="6"/>
      <c r="E63" s="6"/>
      <c r="F63" s="6"/>
      <c r="G63" s="7"/>
    </row>
    <row r="64" spans="1:10">
      <c r="A64" s="17"/>
      <c r="B64" s="18"/>
      <c r="C64" s="6"/>
      <c r="D64" s="6"/>
      <c r="E64" s="6"/>
      <c r="F64" s="6"/>
      <c r="G64" s="7"/>
    </row>
    <row r="65" spans="1:7">
      <c r="A65" s="17"/>
      <c r="B65" s="18"/>
      <c r="C65" s="6"/>
      <c r="D65" s="6"/>
      <c r="E65" s="6"/>
      <c r="F65" s="6"/>
      <c r="G65" s="7"/>
    </row>
    <row r="66" spans="1:7">
      <c r="A66" s="17"/>
      <c r="B66" s="18"/>
      <c r="C66" s="6"/>
      <c r="D66" s="6"/>
      <c r="E66" s="6"/>
      <c r="F66" s="6"/>
      <c r="G66" s="7"/>
    </row>
    <row r="67" spans="1:7">
      <c r="A67" s="19"/>
      <c r="B67" s="20"/>
      <c r="C67" s="6"/>
      <c r="D67" s="6"/>
      <c r="E67" s="6"/>
      <c r="F67" s="6"/>
      <c r="G67" s="21"/>
    </row>
    <row r="68" spans="1:7">
      <c r="A68" s="17"/>
      <c r="B68" s="18"/>
      <c r="C68" s="6"/>
      <c r="D68" s="6"/>
      <c r="E68" s="6"/>
      <c r="F68" s="6"/>
      <c r="G68" s="7"/>
    </row>
    <row r="69" spans="1:7">
      <c r="A69" s="19"/>
      <c r="B69" s="20"/>
      <c r="C69" s="6"/>
      <c r="D69" s="6"/>
      <c r="E69" s="6"/>
      <c r="F69" s="6"/>
      <c r="G69" s="21"/>
    </row>
    <row r="70" spans="1:7">
      <c r="A70" s="17"/>
      <c r="B70" s="18"/>
      <c r="C70" s="6"/>
      <c r="D70" s="6"/>
      <c r="E70" s="6"/>
      <c r="F70" s="6"/>
      <c r="G70" s="7"/>
    </row>
    <row r="71" spans="1:7">
      <c r="A71" s="19"/>
      <c r="B71" s="20"/>
      <c r="C71" s="6"/>
      <c r="D71" s="6"/>
      <c r="E71" s="6"/>
      <c r="F71" s="6"/>
      <c r="G71" s="21"/>
    </row>
    <row r="72" spans="1:7">
      <c r="A72" s="17"/>
      <c r="B72" s="18"/>
      <c r="C72" s="6"/>
      <c r="D72" s="6"/>
      <c r="E72" s="6"/>
      <c r="F72" s="6"/>
      <c r="G72" s="7"/>
    </row>
    <row r="73" spans="1:7">
      <c r="A73" s="17"/>
      <c r="B73" s="18"/>
      <c r="C73" s="6"/>
      <c r="D73" s="6"/>
      <c r="E73" s="6"/>
      <c r="F73" s="6"/>
      <c r="G73" s="7"/>
    </row>
    <row r="74" spans="1:7">
      <c r="A74" s="17"/>
      <c r="B74" s="18"/>
      <c r="C74" s="6"/>
      <c r="D74" s="6"/>
      <c r="E74" s="6"/>
      <c r="F74" s="6"/>
      <c r="G74" s="7"/>
    </row>
    <row r="75" spans="1:7">
      <c r="A75" s="17"/>
      <c r="B75" s="18"/>
      <c r="C75" s="6"/>
      <c r="D75" s="6"/>
      <c r="E75" s="6"/>
      <c r="F75" s="6"/>
      <c r="G75" s="7"/>
    </row>
    <row r="76" spans="1:7">
      <c r="A76" s="17"/>
      <c r="B76" s="18"/>
      <c r="C76" s="6"/>
      <c r="D76" s="6"/>
      <c r="E76" s="6"/>
      <c r="F76" s="6"/>
      <c r="G76" s="7"/>
    </row>
    <row r="77" spans="1:7">
      <c r="A77" s="17"/>
      <c r="B77" s="18"/>
      <c r="C77" s="6"/>
      <c r="D77" s="6"/>
      <c r="E77" s="6"/>
      <c r="F77" s="6"/>
      <c r="G77" s="7"/>
    </row>
  </sheetData>
  <mergeCells count="6">
    <mergeCell ref="F46:G46"/>
    <mergeCell ref="C48:G48"/>
    <mergeCell ref="A52:B52"/>
    <mergeCell ref="A55:B55"/>
    <mergeCell ref="A4:G4"/>
    <mergeCell ref="B12:E12"/>
  </mergeCells>
  <phoneticPr fontId="33" type="noConversion"/>
  <pageMargins left="0.7" right="0.7" top="0.75" bottom="0.75" header="0.3" footer="0.3"/>
  <pageSetup paperSize="9" scale="6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2273-1AE4-456A-8A14-985AFF4C8C3F}">
  <sheetPr>
    <tabColor rgb="FF92D050"/>
    <pageSetUpPr fitToPage="1"/>
  </sheetPr>
  <dimension ref="A1:J77"/>
  <sheetViews>
    <sheetView zoomScaleNormal="100" workbookViewId="0">
      <selection activeCell="F29" sqref="F29"/>
    </sheetView>
  </sheetViews>
  <sheetFormatPr defaultRowHeight="14"/>
  <cols>
    <col min="1" max="1" width="11.81640625" style="22" customWidth="1"/>
    <col min="2" max="2" width="57.26953125" style="23" customWidth="1"/>
    <col min="3" max="4" width="10.81640625" customWidth="1"/>
    <col min="5" max="5" width="12.1796875" customWidth="1"/>
    <col min="6" max="6" width="13.54296875" customWidth="1"/>
    <col min="7" max="7" width="13.54296875" style="3" customWidth="1"/>
    <col min="10" max="10" width="10.54296875" bestFit="1" customWidth="1"/>
    <col min="11" max="11" width="25.7265625" customWidth="1"/>
  </cols>
  <sheetData>
    <row r="1" spans="1:10" ht="17.5">
      <c r="A1" s="1"/>
      <c r="B1" s="2"/>
    </row>
    <row r="2" spans="1:10" ht="17.5">
      <c r="A2" s="1"/>
      <c r="B2" s="2"/>
    </row>
    <row r="4" spans="1:10" ht="15">
      <c r="A4" s="370" t="s">
        <v>0</v>
      </c>
      <c r="B4" s="370"/>
      <c r="C4" s="370"/>
      <c r="D4" s="370"/>
      <c r="E4" s="370"/>
      <c r="F4" s="370"/>
      <c r="G4" s="370"/>
    </row>
    <row r="5" spans="1:10" ht="15">
      <c r="A5" s="4"/>
      <c r="B5" s="24"/>
      <c r="C5" s="162"/>
      <c r="D5" s="162"/>
      <c r="E5" s="162"/>
      <c r="F5" s="162"/>
      <c r="G5" s="5"/>
    </row>
    <row r="6" spans="1:10">
      <c r="A6" s="91" t="s">
        <v>1</v>
      </c>
      <c r="B6" s="92" t="str">
        <f>Register!B4</f>
        <v>ARCO</v>
      </c>
      <c r="C6" s="93"/>
      <c r="D6" s="94"/>
      <c r="E6" s="94"/>
      <c r="F6" s="94" t="s">
        <v>2</v>
      </c>
      <c r="G6" s="25">
        <f ca="1">TODAY()</f>
        <v>46187</v>
      </c>
    </row>
    <row r="7" spans="1:10">
      <c r="A7" s="91" t="s">
        <v>3</v>
      </c>
      <c r="B7" s="92" t="s">
        <v>4</v>
      </c>
      <c r="C7" s="93"/>
      <c r="D7" s="95"/>
      <c r="E7" s="95"/>
      <c r="F7" s="95" t="s">
        <v>5</v>
      </c>
      <c r="G7" s="96"/>
    </row>
    <row r="8" spans="1:10">
      <c r="A8" s="91" t="s">
        <v>6</v>
      </c>
      <c r="B8" s="92" t="str">
        <f>Register!B5</f>
        <v>22 - 24 Hood St, Subiaco</v>
      </c>
      <c r="C8" s="93"/>
      <c r="D8" s="93"/>
      <c r="E8" s="93"/>
      <c r="F8" s="93"/>
      <c r="G8" s="96"/>
    </row>
    <row r="9" spans="1:10">
      <c r="A9" s="91" t="s">
        <v>7</v>
      </c>
      <c r="B9" s="92">
        <f>Register!B3</f>
        <v>1504</v>
      </c>
      <c r="C9" s="97"/>
      <c r="D9" s="97"/>
      <c r="E9" s="97"/>
      <c r="F9" s="97"/>
      <c r="G9" s="96"/>
    </row>
    <row r="10" spans="1:10">
      <c r="A10" s="98"/>
      <c r="B10" s="99"/>
      <c r="C10" s="97"/>
      <c r="D10" s="97"/>
      <c r="E10" s="97"/>
      <c r="F10" s="97"/>
      <c r="G10" s="96"/>
    </row>
    <row r="11" spans="1:10" ht="26.5" thickBot="1">
      <c r="A11" s="100"/>
      <c r="B11" s="101" t="s">
        <v>136</v>
      </c>
      <c r="C11" s="102"/>
      <c r="D11" s="102"/>
      <c r="E11" s="102"/>
      <c r="F11" s="102"/>
      <c r="G11" s="103"/>
    </row>
    <row r="12" spans="1:10" ht="14.5" thickBot="1">
      <c r="A12" s="104" t="s">
        <v>8</v>
      </c>
      <c r="B12" s="379" t="s">
        <v>9</v>
      </c>
      <c r="C12" s="380"/>
      <c r="D12" s="380"/>
      <c r="E12" s="381"/>
      <c r="F12" s="105" t="s">
        <v>10</v>
      </c>
      <c r="G12" s="106" t="s">
        <v>11</v>
      </c>
    </row>
    <row r="13" spans="1:10">
      <c r="A13" s="107"/>
      <c r="B13" s="108"/>
      <c r="C13" s="112" t="s">
        <v>12</v>
      </c>
      <c r="D13" s="112" t="s">
        <v>13</v>
      </c>
      <c r="E13" s="185" t="s">
        <v>14</v>
      </c>
      <c r="F13" s="164"/>
      <c r="G13" s="165"/>
      <c r="H13" s="184"/>
      <c r="I13" s="184"/>
    </row>
    <row r="14" spans="1:10">
      <c r="A14" s="109">
        <v>1</v>
      </c>
      <c r="B14" s="82" t="s">
        <v>104</v>
      </c>
      <c r="C14" s="152" t="s">
        <v>15</v>
      </c>
      <c r="D14" s="150" t="s">
        <v>16</v>
      </c>
      <c r="E14" s="84">
        <v>325000</v>
      </c>
      <c r="F14" s="166">
        <f>E14</f>
        <v>325000</v>
      </c>
      <c r="G14" s="172">
        <v>191000</v>
      </c>
      <c r="J14" s="188"/>
    </row>
    <row r="15" spans="1:10">
      <c r="A15" s="109">
        <v>2</v>
      </c>
      <c r="B15" s="82" t="s">
        <v>105</v>
      </c>
      <c r="C15" s="152" t="s">
        <v>15</v>
      </c>
      <c r="D15" s="150" t="s">
        <v>16</v>
      </c>
      <c r="E15" s="150">
        <v>20000</v>
      </c>
      <c r="F15" s="166">
        <f>E15</f>
        <v>20000</v>
      </c>
      <c r="G15" s="172"/>
      <c r="I15" s="186"/>
      <c r="J15" s="188"/>
    </row>
    <row r="16" spans="1:10">
      <c r="A16" s="109"/>
      <c r="B16" s="82"/>
      <c r="C16" s="152"/>
      <c r="D16" s="150"/>
      <c r="E16" s="150"/>
      <c r="F16" s="166"/>
      <c r="G16" s="172"/>
      <c r="I16" s="186"/>
      <c r="J16" s="186"/>
    </row>
    <row r="17" spans="1:7">
      <c r="A17" s="109"/>
      <c r="B17" s="82" t="s">
        <v>137</v>
      </c>
      <c r="C17" s="152"/>
      <c r="D17" s="150"/>
      <c r="E17" s="84"/>
      <c r="F17" s="166"/>
      <c r="G17" s="167"/>
    </row>
    <row r="18" spans="1:7">
      <c r="A18" s="109"/>
      <c r="B18" s="82"/>
      <c r="C18" s="152"/>
      <c r="D18" s="150"/>
      <c r="E18" s="84"/>
      <c r="F18" s="166"/>
      <c r="G18" s="172"/>
    </row>
    <row r="19" spans="1:7">
      <c r="A19" s="109"/>
      <c r="B19" s="82"/>
      <c r="C19" s="152"/>
      <c r="D19" s="150"/>
      <c r="E19" s="150"/>
      <c r="F19" s="166"/>
      <c r="G19" s="167"/>
    </row>
    <row r="20" spans="1:7">
      <c r="A20" s="109"/>
      <c r="B20" s="82"/>
      <c r="C20" s="152"/>
      <c r="D20" s="150"/>
      <c r="E20" s="150"/>
      <c r="F20" s="166"/>
      <c r="G20" s="167"/>
    </row>
    <row r="21" spans="1:7">
      <c r="A21" s="109"/>
      <c r="B21" s="82"/>
      <c r="C21" s="152"/>
      <c r="D21" s="150"/>
      <c r="E21" s="150"/>
      <c r="F21" s="166"/>
      <c r="G21" s="172"/>
    </row>
    <row r="22" spans="1:7">
      <c r="A22" s="109"/>
      <c r="B22" s="82"/>
      <c r="C22" s="152"/>
      <c r="D22" s="150"/>
      <c r="E22" s="84"/>
      <c r="F22" s="166"/>
      <c r="G22" s="172"/>
    </row>
    <row r="23" spans="1:7">
      <c r="A23" s="109"/>
      <c r="B23" s="82"/>
      <c r="C23" s="152"/>
      <c r="D23" s="150"/>
      <c r="E23" s="84"/>
      <c r="F23" s="166"/>
      <c r="G23" s="172"/>
    </row>
    <row r="24" spans="1:7" ht="15" customHeight="1">
      <c r="A24" s="109"/>
      <c r="B24" s="82"/>
      <c r="C24" s="152"/>
      <c r="D24" s="150"/>
      <c r="E24" s="84"/>
      <c r="F24" s="166"/>
      <c r="G24" s="172"/>
    </row>
    <row r="25" spans="1:7">
      <c r="A25" s="109"/>
      <c r="B25" s="82"/>
      <c r="C25" s="152"/>
      <c r="D25" s="150"/>
      <c r="E25" s="84"/>
      <c r="F25" s="166"/>
      <c r="G25" s="167"/>
    </row>
    <row r="26" spans="1:7">
      <c r="A26" s="109"/>
      <c r="B26" s="82"/>
      <c r="C26" s="152"/>
      <c r="D26" s="150"/>
      <c r="E26" s="84"/>
      <c r="F26" s="166"/>
      <c r="G26" s="167"/>
    </row>
    <row r="27" spans="1:7">
      <c r="A27" s="109"/>
      <c r="B27" s="82"/>
      <c r="C27" s="152"/>
      <c r="D27" s="150"/>
      <c r="E27" s="174"/>
      <c r="F27" s="166"/>
      <c r="G27" s="173"/>
    </row>
    <row r="28" spans="1:7">
      <c r="A28" s="109"/>
      <c r="B28" s="82"/>
      <c r="C28" s="83"/>
      <c r="D28" s="85"/>
      <c r="E28" s="84"/>
      <c r="F28" s="169"/>
      <c r="G28" s="167"/>
    </row>
    <row r="29" spans="1:7">
      <c r="A29" s="110"/>
      <c r="B29" s="82"/>
      <c r="C29" s="83"/>
      <c r="D29" s="86"/>
      <c r="E29" s="84"/>
      <c r="F29" s="175"/>
      <c r="G29" s="167"/>
    </row>
    <row r="30" spans="1:7">
      <c r="A30" s="109"/>
      <c r="B30" s="82"/>
      <c r="C30" s="83"/>
      <c r="D30" s="84"/>
      <c r="E30" s="84"/>
      <c r="F30" s="168"/>
      <c r="G30" s="167"/>
    </row>
    <row r="31" spans="1:7">
      <c r="A31" s="109"/>
      <c r="B31" s="82"/>
      <c r="C31" s="83"/>
      <c r="D31" s="84"/>
      <c r="E31" s="84"/>
      <c r="F31" s="168"/>
      <c r="G31" s="167"/>
    </row>
    <row r="32" spans="1:7">
      <c r="A32" s="109"/>
      <c r="B32" s="82"/>
      <c r="C32" s="83"/>
      <c r="D32" s="84"/>
      <c r="E32" s="84"/>
      <c r="F32" s="168"/>
      <c r="G32" s="167"/>
    </row>
    <row r="33" spans="1:7">
      <c r="A33" s="109"/>
      <c r="B33" s="82"/>
      <c r="C33" s="83"/>
      <c r="D33" s="84"/>
      <c r="E33" s="84"/>
      <c r="F33" s="168"/>
      <c r="G33" s="167"/>
    </row>
    <row r="34" spans="1:7">
      <c r="A34" s="109"/>
      <c r="B34" s="82"/>
      <c r="C34" s="83"/>
      <c r="D34" s="84"/>
      <c r="E34" s="84"/>
      <c r="F34" s="168"/>
      <c r="G34" s="167"/>
    </row>
    <row r="35" spans="1:7">
      <c r="A35" s="109"/>
      <c r="B35" s="82"/>
      <c r="C35" s="83"/>
      <c r="D35" s="84"/>
      <c r="E35" s="84"/>
      <c r="F35" s="168"/>
      <c r="G35" s="167"/>
    </row>
    <row r="36" spans="1:7">
      <c r="A36" s="109"/>
      <c r="B36" s="82"/>
      <c r="C36" s="83"/>
      <c r="D36" s="84"/>
      <c r="E36" s="84"/>
      <c r="F36" s="168"/>
      <c r="G36" s="167"/>
    </row>
    <row r="37" spans="1:7">
      <c r="A37" s="110"/>
      <c r="B37" s="82"/>
      <c r="C37" s="83"/>
      <c r="D37" s="84"/>
      <c r="E37" s="84"/>
      <c r="F37" s="168"/>
      <c r="G37" s="167"/>
    </row>
    <row r="38" spans="1:7">
      <c r="A38" s="109"/>
      <c r="B38" s="82"/>
      <c r="C38" s="83"/>
      <c r="D38" s="84"/>
      <c r="E38" s="84"/>
      <c r="F38" s="168"/>
      <c r="G38" s="167"/>
    </row>
    <row r="39" spans="1:7">
      <c r="A39" s="109"/>
      <c r="B39" s="82"/>
      <c r="C39" s="83"/>
      <c r="D39" s="84"/>
      <c r="E39" s="84"/>
      <c r="F39" s="168"/>
      <c r="G39" s="167"/>
    </row>
    <row r="40" spans="1:7" ht="14.5" thickBot="1">
      <c r="A40" s="111"/>
      <c r="B40" s="87"/>
      <c r="C40" s="88"/>
      <c r="D40" s="89"/>
      <c r="E40" s="90"/>
      <c r="F40" s="170"/>
      <c r="G40" s="171"/>
    </row>
    <row r="41" spans="1:7" ht="14.5" thickBot="1">
      <c r="A41" s="163" t="s">
        <v>17</v>
      </c>
      <c r="B41" s="8"/>
      <c r="C41" s="8"/>
      <c r="D41" s="8"/>
      <c r="F41" s="151">
        <f>SUM(F13:F40)</f>
        <v>345000</v>
      </c>
      <c r="G41" s="180">
        <f>SUM(G13:G40)</f>
        <v>191000</v>
      </c>
    </row>
    <row r="42" spans="1:7">
      <c r="A42" s="163" t="s">
        <v>18</v>
      </c>
      <c r="F42" s="209">
        <f>F41-G41</f>
        <v>154000</v>
      </c>
      <c r="G42" s="210"/>
    </row>
    <row r="43" spans="1:7" ht="15" customHeight="1">
      <c r="A43" s="163" t="s">
        <v>19</v>
      </c>
      <c r="B43" s="163"/>
      <c r="F43" s="211">
        <f>F42*10%</f>
        <v>15400</v>
      </c>
      <c r="G43" s="218"/>
    </row>
    <row r="44" spans="1:7">
      <c r="A44" s="163" t="s">
        <v>20</v>
      </c>
      <c r="B44" s="163"/>
      <c r="F44" s="221">
        <f>F42+F43</f>
        <v>169400</v>
      </c>
      <c r="G44" s="219"/>
    </row>
    <row r="45" spans="1:7" ht="14.5" thickBot="1">
      <c r="A45" s="163" t="s">
        <v>21</v>
      </c>
      <c r="B45" s="163"/>
      <c r="F45" s="212">
        <f>F44*0.1</f>
        <v>16940</v>
      </c>
      <c r="G45" s="213"/>
    </row>
    <row r="46" spans="1:7" ht="14.5" thickBot="1">
      <c r="A46" s="163" t="s">
        <v>22</v>
      </c>
      <c r="B46" s="163"/>
      <c r="F46" s="374">
        <f>F44+F45</f>
        <v>186340</v>
      </c>
      <c r="G46" s="375"/>
    </row>
    <row r="47" spans="1:7">
      <c r="A47" s="163"/>
      <c r="C47" s="23"/>
      <c r="D47" s="23"/>
      <c r="E47" s="23"/>
      <c r="F47" s="23"/>
      <c r="G47" s="23"/>
    </row>
    <row r="48" spans="1:7" ht="14.5" thickBot="1">
      <c r="A48" s="163"/>
      <c r="C48" s="376"/>
      <c r="D48" s="376"/>
      <c r="E48" s="376"/>
      <c r="F48" s="376"/>
      <c r="G48" s="376"/>
    </row>
    <row r="49" spans="1:10">
      <c r="A49" s="34"/>
      <c r="B49" s="9"/>
      <c r="D49" s="29"/>
      <c r="F49" s="35" t="s">
        <v>23</v>
      </c>
      <c r="G49" s="36"/>
      <c r="I49" s="10"/>
      <c r="J49" s="10"/>
    </row>
    <row r="50" spans="1:10" ht="20.25" customHeight="1">
      <c r="A50" s="34"/>
      <c r="B50" s="9"/>
      <c r="D50" s="27"/>
      <c r="F50" s="136" t="s">
        <v>100</v>
      </c>
      <c r="G50" s="28"/>
      <c r="I50" s="11"/>
      <c r="J50" s="11"/>
    </row>
    <row r="51" spans="1:10" ht="15" customHeight="1">
      <c r="A51" s="34"/>
      <c r="B51" s="9"/>
      <c r="D51" s="27"/>
      <c r="F51" s="38"/>
      <c r="G51" s="12"/>
      <c r="I51" s="11"/>
      <c r="J51" s="11"/>
    </row>
    <row r="52" spans="1:10">
      <c r="A52" s="377" t="s">
        <v>24</v>
      </c>
      <c r="B52" s="377"/>
      <c r="D52" s="29"/>
      <c r="F52" s="30" t="s">
        <v>25</v>
      </c>
      <c r="G52" s="31"/>
      <c r="I52" s="10"/>
      <c r="J52" s="10"/>
    </row>
    <row r="53" spans="1:10">
      <c r="A53" s="26"/>
      <c r="B53" s="26"/>
      <c r="D53" s="13"/>
      <c r="F53" s="32"/>
      <c r="G53" s="37"/>
      <c r="I53" s="13"/>
      <c r="J53" s="13"/>
    </row>
    <row r="54" spans="1:10">
      <c r="A54" s="26"/>
      <c r="B54" s="26"/>
      <c r="D54" s="13"/>
      <c r="F54" s="38"/>
      <c r="G54" s="12"/>
      <c r="I54" s="13"/>
      <c r="J54" s="13"/>
    </row>
    <row r="55" spans="1:10" ht="14.5" thickBot="1">
      <c r="A55" s="378"/>
      <c r="B55" s="378"/>
      <c r="C55" s="15"/>
      <c r="D55" s="15"/>
      <c r="F55" s="14"/>
      <c r="G55" s="33"/>
    </row>
    <row r="56" spans="1:10">
      <c r="A56" s="34"/>
      <c r="B56" s="9"/>
      <c r="C56" s="15"/>
      <c r="D56" s="15"/>
      <c r="E56" s="13"/>
      <c r="F56" s="13"/>
      <c r="G56" s="13"/>
    </row>
    <row r="57" spans="1:10">
      <c r="C57" s="15"/>
      <c r="D57" s="15"/>
      <c r="E57" s="15"/>
      <c r="F57" s="15"/>
      <c r="G57" s="16"/>
    </row>
    <row r="58" spans="1:10">
      <c r="C58" s="15"/>
      <c r="D58" s="15"/>
      <c r="E58" s="15"/>
      <c r="F58" s="15"/>
      <c r="G58" s="16"/>
    </row>
    <row r="59" spans="1:10">
      <c r="C59" s="15"/>
      <c r="D59" s="15"/>
      <c r="E59" s="15"/>
      <c r="F59" s="15"/>
      <c r="G59" s="16"/>
    </row>
    <row r="60" spans="1:10">
      <c r="C60" s="15"/>
      <c r="D60" s="15"/>
      <c r="E60" s="15"/>
      <c r="F60" s="15"/>
      <c r="G60" s="16"/>
    </row>
    <row r="61" spans="1:10">
      <c r="A61" s="17"/>
      <c r="B61" s="18"/>
      <c r="C61" s="6"/>
      <c r="D61" s="6"/>
      <c r="E61" s="6"/>
      <c r="F61" s="6"/>
      <c r="G61" s="7"/>
    </row>
    <row r="62" spans="1:10">
      <c r="A62" s="17"/>
      <c r="B62" s="18"/>
      <c r="C62" s="6"/>
      <c r="D62" s="6"/>
      <c r="E62" s="6"/>
      <c r="F62" s="6"/>
      <c r="G62" s="7"/>
    </row>
    <row r="63" spans="1:10">
      <c r="A63" s="17"/>
      <c r="B63" s="18"/>
      <c r="C63" s="6"/>
      <c r="D63" s="6"/>
      <c r="E63" s="6"/>
      <c r="F63" s="6"/>
      <c r="G63" s="7"/>
    </row>
    <row r="64" spans="1:10">
      <c r="A64" s="17"/>
      <c r="B64" s="18"/>
      <c r="C64" s="6"/>
      <c r="D64" s="6"/>
      <c r="E64" s="6"/>
      <c r="F64" s="6"/>
      <c r="G64" s="7"/>
    </row>
    <row r="65" spans="1:7">
      <c r="A65" s="17"/>
      <c r="B65" s="18"/>
      <c r="C65" s="6"/>
      <c r="D65" s="6"/>
      <c r="E65" s="6"/>
      <c r="F65" s="6"/>
      <c r="G65" s="7"/>
    </row>
    <row r="66" spans="1:7">
      <c r="A66" s="17"/>
      <c r="B66" s="18"/>
      <c r="C66" s="6"/>
      <c r="D66" s="6"/>
      <c r="E66" s="6"/>
      <c r="F66" s="6"/>
      <c r="G66" s="7"/>
    </row>
    <row r="67" spans="1:7">
      <c r="A67" s="19"/>
      <c r="B67" s="20"/>
      <c r="C67" s="6"/>
      <c r="D67" s="6"/>
      <c r="E67" s="6"/>
      <c r="F67" s="6"/>
      <c r="G67" s="21"/>
    </row>
    <row r="68" spans="1:7">
      <c r="A68" s="17"/>
      <c r="B68" s="18"/>
      <c r="C68" s="6"/>
      <c r="D68" s="6"/>
      <c r="E68" s="6"/>
      <c r="F68" s="6"/>
      <c r="G68" s="7"/>
    </row>
    <row r="69" spans="1:7">
      <c r="A69" s="19"/>
      <c r="B69" s="20"/>
      <c r="C69" s="6"/>
      <c r="D69" s="6"/>
      <c r="E69" s="6"/>
      <c r="F69" s="6"/>
      <c r="G69" s="21"/>
    </row>
    <row r="70" spans="1:7">
      <c r="A70" s="17"/>
      <c r="B70" s="18"/>
      <c r="C70" s="6"/>
      <c r="D70" s="6"/>
      <c r="E70" s="6"/>
      <c r="F70" s="6"/>
      <c r="G70" s="7"/>
    </row>
    <row r="71" spans="1:7">
      <c r="A71" s="19"/>
      <c r="B71" s="20"/>
      <c r="C71" s="6"/>
      <c r="D71" s="6"/>
      <c r="E71" s="6"/>
      <c r="F71" s="6"/>
      <c r="G71" s="21"/>
    </row>
    <row r="72" spans="1:7">
      <c r="A72" s="17"/>
      <c r="B72" s="18"/>
      <c r="C72" s="6"/>
      <c r="D72" s="6"/>
      <c r="E72" s="6"/>
      <c r="F72" s="6"/>
      <c r="G72" s="7"/>
    </row>
    <row r="73" spans="1:7">
      <c r="A73" s="17"/>
      <c r="B73" s="18"/>
      <c r="C73" s="6"/>
      <c r="D73" s="6"/>
      <c r="E73" s="6"/>
      <c r="F73" s="6"/>
      <c r="G73" s="7"/>
    </row>
    <row r="74" spans="1:7">
      <c r="A74" s="17"/>
      <c r="B74" s="18"/>
      <c r="C74" s="6"/>
      <c r="D74" s="6"/>
      <c r="E74" s="6"/>
      <c r="F74" s="6"/>
      <c r="G74" s="7"/>
    </row>
    <row r="75" spans="1:7">
      <c r="A75" s="17"/>
      <c r="B75" s="18"/>
      <c r="C75" s="6"/>
      <c r="D75" s="6"/>
      <c r="E75" s="6"/>
      <c r="F75" s="6"/>
      <c r="G75" s="7"/>
    </row>
    <row r="76" spans="1:7">
      <c r="A76" s="17"/>
      <c r="B76" s="18"/>
      <c r="C76" s="6"/>
      <c r="D76" s="6"/>
      <c r="E76" s="6"/>
      <c r="F76" s="6"/>
      <c r="G76" s="7"/>
    </row>
    <row r="77" spans="1:7">
      <c r="A77" s="17"/>
      <c r="B77" s="18"/>
      <c r="C77" s="6"/>
      <c r="D77" s="6"/>
      <c r="E77" s="6"/>
      <c r="F77" s="6"/>
      <c r="G77" s="7"/>
    </row>
  </sheetData>
  <mergeCells count="6">
    <mergeCell ref="A55:B55"/>
    <mergeCell ref="A4:G4"/>
    <mergeCell ref="B12:E12"/>
    <mergeCell ref="F46:G46"/>
    <mergeCell ref="C48:G48"/>
    <mergeCell ref="A52:B52"/>
  </mergeCells>
  <phoneticPr fontId="81" type="noConversion"/>
  <pageMargins left="0.7" right="0.7" top="0.75" bottom="0.75" header="0.3" footer="0.3"/>
  <pageSetup paperSize="9" scale="6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7535-6852-4C75-A901-8B16779010A0}">
  <sheetPr>
    <tabColor rgb="FF92D050"/>
    <pageSetUpPr fitToPage="1"/>
  </sheetPr>
  <dimension ref="A1:J56"/>
  <sheetViews>
    <sheetView zoomScaleNormal="100" workbookViewId="0">
      <selection activeCell="F9" sqref="F9"/>
    </sheetView>
  </sheetViews>
  <sheetFormatPr defaultRowHeight="14"/>
  <cols>
    <col min="1" max="1" width="11.81640625" style="22" customWidth="1"/>
    <col min="2" max="2" width="57.26953125" style="23" customWidth="1"/>
    <col min="3" max="4" width="10.81640625" customWidth="1"/>
    <col min="5" max="5" width="12.1796875" customWidth="1"/>
    <col min="6" max="6" width="13.54296875" customWidth="1"/>
    <col min="7" max="7" width="13.54296875" style="3" customWidth="1"/>
    <col min="10" max="10" width="10.54296875" bestFit="1" customWidth="1"/>
    <col min="11" max="11" width="25.7265625" customWidth="1"/>
  </cols>
  <sheetData>
    <row r="1" spans="1:10" ht="17.5">
      <c r="A1" s="1"/>
      <c r="B1" s="2"/>
    </row>
    <row r="2" spans="1:10" ht="17.5">
      <c r="A2" s="1"/>
      <c r="B2" s="2"/>
    </row>
    <row r="4" spans="1:10" ht="15">
      <c r="A4" s="370" t="s">
        <v>0</v>
      </c>
      <c r="B4" s="370"/>
      <c r="C4" s="370"/>
      <c r="D4" s="370"/>
      <c r="E4" s="370"/>
      <c r="F4" s="370"/>
      <c r="G4" s="370"/>
    </row>
    <row r="5" spans="1:10" ht="15">
      <c r="A5" s="4"/>
      <c r="B5" s="24"/>
      <c r="C5" s="162"/>
      <c r="D5" s="162"/>
      <c r="E5" s="162"/>
      <c r="F5" s="162"/>
      <c r="G5" s="5"/>
    </row>
    <row r="6" spans="1:10">
      <c r="A6" s="91" t="s">
        <v>1</v>
      </c>
      <c r="B6" s="92" t="str">
        <f>Register!B4</f>
        <v>ARCO</v>
      </c>
      <c r="C6" s="93"/>
      <c r="D6" s="94"/>
      <c r="E6" s="94"/>
      <c r="F6" s="94" t="s">
        <v>2</v>
      </c>
      <c r="G6" s="25">
        <f ca="1">TODAY()</f>
        <v>46187</v>
      </c>
    </row>
    <row r="7" spans="1:10">
      <c r="A7" s="91" t="s">
        <v>3</v>
      </c>
      <c r="B7" s="92" t="s">
        <v>4</v>
      </c>
      <c r="C7" s="93"/>
      <c r="D7" s="95"/>
      <c r="E7" s="95"/>
      <c r="F7" s="95" t="s">
        <v>5</v>
      </c>
      <c r="G7" s="96"/>
    </row>
    <row r="8" spans="1:10">
      <c r="A8" s="91" t="s">
        <v>6</v>
      </c>
      <c r="B8" s="92" t="str">
        <f>Register!B5</f>
        <v>22 - 24 Hood St, Subiaco</v>
      </c>
      <c r="C8" s="93"/>
      <c r="D8" s="93"/>
      <c r="E8" s="93"/>
      <c r="F8" s="93"/>
      <c r="G8" s="96"/>
    </row>
    <row r="9" spans="1:10">
      <c r="A9" s="91" t="s">
        <v>7</v>
      </c>
      <c r="B9" s="92">
        <f>Register!B3</f>
        <v>1504</v>
      </c>
      <c r="C9" s="97"/>
      <c r="D9" s="97"/>
      <c r="E9" s="97"/>
      <c r="F9" s="97"/>
      <c r="G9" s="96"/>
    </row>
    <row r="10" spans="1:10">
      <c r="A10" s="98"/>
      <c r="B10" s="99"/>
      <c r="C10" s="97"/>
      <c r="D10" s="97"/>
      <c r="E10" s="97"/>
      <c r="F10" s="97"/>
      <c r="G10" s="96"/>
    </row>
    <row r="11" spans="1:10" ht="26.5" thickBot="1">
      <c r="A11" s="100"/>
      <c r="B11" s="101" t="s">
        <v>131</v>
      </c>
      <c r="C11" s="102"/>
      <c r="D11" s="102"/>
      <c r="E11" s="102"/>
      <c r="F11" s="102"/>
      <c r="G11" s="103"/>
    </row>
    <row r="12" spans="1:10" ht="14.5" thickBot="1">
      <c r="A12" s="104" t="s">
        <v>8</v>
      </c>
      <c r="B12" s="379" t="s">
        <v>9</v>
      </c>
      <c r="C12" s="380"/>
      <c r="D12" s="380"/>
      <c r="E12" s="381"/>
      <c r="F12" s="105" t="s">
        <v>10</v>
      </c>
      <c r="G12" s="106" t="s">
        <v>11</v>
      </c>
    </row>
    <row r="13" spans="1:10">
      <c r="A13" s="107"/>
      <c r="B13" s="108"/>
      <c r="C13" s="112" t="s">
        <v>12</v>
      </c>
      <c r="D13" s="112" t="s">
        <v>13</v>
      </c>
      <c r="E13" s="185" t="s">
        <v>14</v>
      </c>
      <c r="F13" s="164"/>
      <c r="G13" s="165"/>
      <c r="H13" s="184"/>
      <c r="I13" s="184"/>
    </row>
    <row r="14" spans="1:10" ht="26">
      <c r="A14" s="109"/>
      <c r="B14" s="332" t="s">
        <v>115</v>
      </c>
      <c r="C14" s="152"/>
      <c r="D14" s="150"/>
      <c r="E14" s="84"/>
      <c r="F14" s="166">
        <f>E14</f>
        <v>0</v>
      </c>
      <c r="G14" s="172"/>
      <c r="J14" s="188"/>
    </row>
    <row r="15" spans="1:10">
      <c r="A15" s="109">
        <v>1</v>
      </c>
      <c r="B15" s="82" t="s">
        <v>106</v>
      </c>
      <c r="C15" s="152"/>
      <c r="D15" s="150"/>
      <c r="E15" s="150"/>
      <c r="F15" s="166"/>
      <c r="G15" s="172">
        <v>-11533</v>
      </c>
      <c r="I15" s="186"/>
      <c r="J15" s="188"/>
    </row>
    <row r="16" spans="1:10">
      <c r="A16" s="109">
        <v>2</v>
      </c>
      <c r="B16" s="82" t="s">
        <v>107</v>
      </c>
      <c r="C16" s="152"/>
      <c r="D16" s="150"/>
      <c r="E16" s="150"/>
      <c r="F16" s="166">
        <v>156992</v>
      </c>
      <c r="G16" s="172"/>
      <c r="I16" s="186"/>
      <c r="J16" s="186"/>
    </row>
    <row r="17" spans="1:10">
      <c r="A17" s="109">
        <v>3</v>
      </c>
      <c r="B17" s="82" t="s">
        <v>108</v>
      </c>
      <c r="C17" s="152"/>
      <c r="D17" s="150"/>
      <c r="E17" s="84"/>
      <c r="F17" s="166">
        <v>41734.6</v>
      </c>
      <c r="G17" s="167"/>
    </row>
    <row r="18" spans="1:10">
      <c r="A18" s="109">
        <v>4</v>
      </c>
      <c r="B18" s="82" t="s">
        <v>109</v>
      </c>
      <c r="C18" s="152"/>
      <c r="D18" s="150"/>
      <c r="E18" s="150"/>
      <c r="F18" s="166">
        <v>49452.07</v>
      </c>
      <c r="G18" s="167"/>
    </row>
    <row r="19" spans="1:10" ht="14.5" thickBot="1">
      <c r="A19" s="111"/>
      <c r="B19" s="87"/>
      <c r="C19" s="88"/>
      <c r="D19" s="89"/>
      <c r="E19" s="90"/>
      <c r="F19" s="170"/>
      <c r="G19" s="171"/>
    </row>
    <row r="20" spans="1:10" ht="14.5" thickBot="1">
      <c r="A20" s="163" t="s">
        <v>17</v>
      </c>
      <c r="B20" s="8"/>
      <c r="C20" s="8"/>
      <c r="D20" s="8"/>
      <c r="F20" s="151">
        <f>SUM(F13:F19)</f>
        <v>248178.67</v>
      </c>
      <c r="G20" s="180">
        <f>SUM(G13:G19)</f>
        <v>-11533</v>
      </c>
    </row>
    <row r="21" spans="1:10">
      <c r="A21" s="163" t="s">
        <v>18</v>
      </c>
      <c r="F21" s="209">
        <f>F20+G20</f>
        <v>236645.67</v>
      </c>
      <c r="G21" s="210"/>
    </row>
    <row r="22" spans="1:10" ht="15" customHeight="1">
      <c r="A22" s="163" t="s">
        <v>19</v>
      </c>
      <c r="B22" s="163"/>
      <c r="F22" s="211">
        <f>F21*0.1</f>
        <v>23664.567000000003</v>
      </c>
      <c r="G22" s="218"/>
    </row>
    <row r="23" spans="1:10">
      <c r="A23" s="163" t="s">
        <v>20</v>
      </c>
      <c r="B23" s="163"/>
      <c r="F23" s="221">
        <f>F21+F22</f>
        <v>260310.23700000002</v>
      </c>
      <c r="G23" s="219"/>
    </row>
    <row r="24" spans="1:10" ht="14.5" thickBot="1">
      <c r="A24" s="163" t="s">
        <v>21</v>
      </c>
      <c r="B24" s="163"/>
      <c r="F24" s="212">
        <f>F23*0.1</f>
        <v>26031.023700000005</v>
      </c>
      <c r="G24" s="213"/>
    </row>
    <row r="25" spans="1:10" ht="14.5" thickBot="1">
      <c r="A25" s="163" t="s">
        <v>22</v>
      </c>
      <c r="B25" s="163"/>
      <c r="F25" s="374">
        <f>F23+F24</f>
        <v>286341.26070000004</v>
      </c>
      <c r="G25" s="375"/>
    </row>
    <row r="26" spans="1:10">
      <c r="A26" s="163"/>
      <c r="C26" s="23"/>
      <c r="D26" s="23"/>
      <c r="E26" s="23"/>
      <c r="F26" s="23"/>
      <c r="G26" s="23"/>
    </row>
    <row r="27" spans="1:10" ht="14.5" thickBot="1">
      <c r="A27" s="163"/>
      <c r="C27" s="376"/>
      <c r="D27" s="376"/>
      <c r="E27" s="376"/>
      <c r="F27" s="376"/>
      <c r="G27" s="376"/>
    </row>
    <row r="28" spans="1:10">
      <c r="A28" s="34"/>
      <c r="B28" s="9"/>
      <c r="D28" s="29"/>
      <c r="F28" s="35" t="s">
        <v>23</v>
      </c>
      <c r="G28" s="36"/>
      <c r="I28" s="10"/>
      <c r="J28" s="10"/>
    </row>
    <row r="29" spans="1:10" ht="20.25" customHeight="1">
      <c r="A29" s="34"/>
      <c r="B29" s="9"/>
      <c r="D29" s="27"/>
      <c r="F29" s="136" t="s">
        <v>100</v>
      </c>
      <c r="G29" s="28"/>
      <c r="I29" s="11"/>
      <c r="J29" s="11"/>
    </row>
    <row r="30" spans="1:10" ht="15" customHeight="1">
      <c r="A30" s="34"/>
      <c r="B30" s="9"/>
      <c r="D30" s="27"/>
      <c r="F30" s="38"/>
      <c r="G30" s="12"/>
      <c r="I30" s="11"/>
      <c r="J30" s="11"/>
    </row>
    <row r="31" spans="1:10">
      <c r="A31" s="377" t="s">
        <v>24</v>
      </c>
      <c r="B31" s="377"/>
      <c r="D31" s="29"/>
      <c r="F31" s="30" t="s">
        <v>25</v>
      </c>
      <c r="G31" s="31"/>
      <c r="I31" s="10"/>
      <c r="J31" s="10"/>
    </row>
    <row r="32" spans="1:10">
      <c r="A32" s="26"/>
      <c r="B32" s="26"/>
      <c r="D32" s="13"/>
      <c r="F32" s="32"/>
      <c r="G32" s="37"/>
      <c r="I32" s="13"/>
      <c r="J32" s="13"/>
    </row>
    <row r="33" spans="1:10">
      <c r="A33" s="26"/>
      <c r="B33" s="26"/>
      <c r="D33" s="13"/>
      <c r="F33" s="38"/>
      <c r="G33" s="12"/>
      <c r="I33" s="13"/>
      <c r="J33" s="13"/>
    </row>
    <row r="34" spans="1:10" ht="14.5" thickBot="1">
      <c r="A34" s="378"/>
      <c r="B34" s="378"/>
      <c r="C34" s="15"/>
      <c r="D34" s="15"/>
      <c r="F34" s="14"/>
      <c r="G34" s="33"/>
    </row>
    <row r="35" spans="1:10">
      <c r="A35" s="34"/>
      <c r="B35" s="9"/>
      <c r="C35" s="15"/>
      <c r="D35" s="15"/>
      <c r="E35" s="13"/>
      <c r="F35" s="13"/>
      <c r="G35" s="13"/>
    </row>
    <row r="36" spans="1:10">
      <c r="C36" s="15"/>
      <c r="D36" s="15"/>
      <c r="E36" s="15"/>
      <c r="F36" s="15"/>
      <c r="G36" s="16"/>
    </row>
    <row r="37" spans="1:10">
      <c r="C37" s="15"/>
      <c r="D37" s="15"/>
      <c r="E37" s="15"/>
      <c r="F37" s="15"/>
      <c r="G37" s="16"/>
    </row>
    <row r="38" spans="1:10">
      <c r="C38" s="15"/>
      <c r="D38" s="15"/>
      <c r="E38" s="15"/>
      <c r="F38" s="15"/>
      <c r="G38" s="16"/>
    </row>
    <row r="39" spans="1:10">
      <c r="C39" s="15"/>
      <c r="D39" s="15"/>
      <c r="E39" s="15"/>
      <c r="F39" s="15"/>
      <c r="G39" s="16"/>
    </row>
    <row r="40" spans="1:10">
      <c r="A40" s="17"/>
      <c r="B40" s="18"/>
      <c r="C40" s="6"/>
      <c r="D40" s="6"/>
      <c r="E40" s="6"/>
      <c r="F40" s="6"/>
      <c r="G40" s="7"/>
    </row>
    <row r="41" spans="1:10">
      <c r="A41" s="17"/>
      <c r="B41" s="18"/>
      <c r="C41" s="6"/>
      <c r="D41" s="6"/>
      <c r="E41" s="6"/>
      <c r="F41" s="6"/>
      <c r="G41" s="7"/>
    </row>
    <row r="42" spans="1:10">
      <c r="A42" s="17"/>
      <c r="B42" s="18"/>
      <c r="C42" s="6"/>
      <c r="D42" s="6"/>
      <c r="E42" s="6"/>
      <c r="F42" s="6"/>
      <c r="G42" s="7"/>
    </row>
    <row r="43" spans="1:10">
      <c r="A43" s="17"/>
      <c r="B43" s="18"/>
      <c r="C43" s="6"/>
      <c r="D43" s="6"/>
      <c r="E43" s="6"/>
      <c r="F43" s="6"/>
      <c r="G43" s="7"/>
    </row>
    <row r="44" spans="1:10">
      <c r="A44" s="17"/>
      <c r="B44" s="18"/>
      <c r="C44" s="6"/>
      <c r="D44" s="6"/>
      <c r="E44" s="6"/>
      <c r="F44" s="6"/>
      <c r="G44" s="7"/>
    </row>
    <row r="45" spans="1:10">
      <c r="A45" s="17"/>
      <c r="B45" s="18"/>
      <c r="C45" s="6"/>
      <c r="D45" s="6"/>
      <c r="E45" s="6"/>
      <c r="F45" s="6"/>
      <c r="G45" s="7"/>
    </row>
    <row r="46" spans="1:10">
      <c r="A46" s="19"/>
      <c r="B46" s="20"/>
      <c r="C46" s="6"/>
      <c r="D46" s="6"/>
      <c r="E46" s="6"/>
      <c r="F46" s="6"/>
      <c r="G46" s="21"/>
    </row>
    <row r="47" spans="1:10">
      <c r="A47" s="17"/>
      <c r="B47" s="18"/>
      <c r="C47" s="6"/>
      <c r="D47" s="6"/>
      <c r="E47" s="6"/>
      <c r="F47" s="6"/>
      <c r="G47" s="7"/>
    </row>
    <row r="48" spans="1:10">
      <c r="A48" s="19"/>
      <c r="B48" s="20"/>
      <c r="C48" s="6"/>
      <c r="D48" s="6"/>
      <c r="E48" s="6"/>
      <c r="F48" s="6"/>
      <c r="G48" s="21"/>
    </row>
    <row r="49" spans="1:7">
      <c r="A49" s="17"/>
      <c r="B49" s="18"/>
      <c r="C49" s="6"/>
      <c r="D49" s="6"/>
      <c r="E49" s="6"/>
      <c r="F49" s="6"/>
      <c r="G49" s="7"/>
    </row>
    <row r="50" spans="1:7">
      <c r="A50" s="19"/>
      <c r="B50" s="20"/>
      <c r="C50" s="6"/>
      <c r="D50" s="6"/>
      <c r="E50" s="6"/>
      <c r="F50" s="6"/>
      <c r="G50" s="21"/>
    </row>
    <row r="51" spans="1:7">
      <c r="A51" s="17"/>
      <c r="B51" s="18"/>
      <c r="C51" s="6"/>
      <c r="D51" s="6"/>
      <c r="E51" s="6"/>
      <c r="F51" s="6"/>
      <c r="G51" s="7"/>
    </row>
    <row r="52" spans="1:7">
      <c r="A52" s="17"/>
      <c r="B52" s="18"/>
      <c r="C52" s="6"/>
      <c r="D52" s="6"/>
      <c r="E52" s="6"/>
      <c r="F52" s="6"/>
      <c r="G52" s="7"/>
    </row>
    <row r="53" spans="1:7">
      <c r="A53" s="17"/>
      <c r="B53" s="18"/>
      <c r="C53" s="6"/>
      <c r="D53" s="6"/>
      <c r="E53" s="6"/>
      <c r="F53" s="6"/>
      <c r="G53" s="7"/>
    </row>
    <row r="54" spans="1:7">
      <c r="A54" s="17"/>
      <c r="B54" s="18"/>
      <c r="C54" s="6"/>
      <c r="D54" s="6"/>
      <c r="E54" s="6"/>
      <c r="F54" s="6"/>
      <c r="G54" s="7"/>
    </row>
    <row r="55" spans="1:7">
      <c r="A55" s="17"/>
      <c r="B55" s="18"/>
      <c r="C55" s="6"/>
      <c r="D55" s="6"/>
      <c r="E55" s="6"/>
      <c r="F55" s="6"/>
      <c r="G55" s="7"/>
    </row>
    <row r="56" spans="1:7">
      <c r="A56" s="17"/>
      <c r="B56" s="18"/>
      <c r="C56" s="6"/>
      <c r="D56" s="6"/>
      <c r="E56" s="6"/>
      <c r="F56" s="6"/>
      <c r="G56" s="7"/>
    </row>
  </sheetData>
  <mergeCells count="6">
    <mergeCell ref="A34:B34"/>
    <mergeCell ref="A4:G4"/>
    <mergeCell ref="B12:E12"/>
    <mergeCell ref="F25:G25"/>
    <mergeCell ref="C27:G27"/>
    <mergeCell ref="A31:B31"/>
  </mergeCells>
  <phoneticPr fontId="81" type="noConversion"/>
  <pageMargins left="0.25" right="0.25" top="0.75" bottom="0.75" header="0.3" footer="0.3"/>
  <pageSetup paperSize="9" scale="7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6C9B-F3CD-4192-9794-CF46E10ECE93}">
  <sheetPr>
    <tabColor rgb="FF92D050"/>
    <pageSetUpPr fitToPage="1"/>
  </sheetPr>
  <dimension ref="A1:J56"/>
  <sheetViews>
    <sheetView zoomScaleNormal="100" workbookViewId="0">
      <selection activeCell="G28" sqref="G28"/>
    </sheetView>
  </sheetViews>
  <sheetFormatPr defaultRowHeight="14"/>
  <cols>
    <col min="1" max="1" width="11.81640625" style="22" customWidth="1"/>
    <col min="2" max="2" width="57.26953125" style="23" customWidth="1"/>
    <col min="3" max="4" width="10.81640625" customWidth="1"/>
    <col min="5" max="5" width="12.1796875" customWidth="1"/>
    <col min="6" max="6" width="13.54296875" customWidth="1"/>
    <col min="7" max="7" width="13.54296875" style="3" customWidth="1"/>
    <col min="10" max="10" width="10.54296875" bestFit="1" customWidth="1"/>
    <col min="11" max="11" width="25.7265625" customWidth="1"/>
  </cols>
  <sheetData>
    <row r="1" spans="1:10" ht="17.5">
      <c r="A1" s="1"/>
      <c r="B1" s="2"/>
    </row>
    <row r="2" spans="1:10" ht="17.5">
      <c r="A2" s="1"/>
      <c r="B2" s="2"/>
    </row>
    <row r="4" spans="1:10" ht="15">
      <c r="A4" s="370" t="s">
        <v>0</v>
      </c>
      <c r="B4" s="370"/>
      <c r="C4" s="370"/>
      <c r="D4" s="370"/>
      <c r="E4" s="370"/>
      <c r="F4" s="370"/>
      <c r="G4" s="370"/>
    </row>
    <row r="5" spans="1:10" ht="15">
      <c r="A5" s="4"/>
      <c r="B5" s="24"/>
      <c r="C5" s="162"/>
      <c r="D5" s="162"/>
      <c r="E5" s="162"/>
      <c r="F5" s="162"/>
      <c r="G5" s="5"/>
    </row>
    <row r="6" spans="1:10">
      <c r="A6" s="91" t="s">
        <v>1</v>
      </c>
      <c r="B6" s="92" t="str">
        <f>Register!B4</f>
        <v>ARCO</v>
      </c>
      <c r="C6" s="93"/>
      <c r="D6" s="94"/>
      <c r="E6" s="94"/>
      <c r="F6" s="94" t="s">
        <v>2</v>
      </c>
      <c r="G6" s="25">
        <f ca="1">TODAY()</f>
        <v>46187</v>
      </c>
    </row>
    <row r="7" spans="1:10">
      <c r="A7" s="91" t="s">
        <v>3</v>
      </c>
      <c r="B7" s="92" t="s">
        <v>4</v>
      </c>
      <c r="C7" s="93"/>
      <c r="D7" s="95"/>
      <c r="E7" s="95"/>
      <c r="F7" s="95" t="s">
        <v>5</v>
      </c>
      <c r="G7" s="96"/>
    </row>
    <row r="8" spans="1:10">
      <c r="A8" s="91" t="s">
        <v>6</v>
      </c>
      <c r="B8" s="92" t="str">
        <f>Register!B5</f>
        <v>22 - 24 Hood St, Subiaco</v>
      </c>
      <c r="C8" s="93"/>
      <c r="D8" s="93"/>
      <c r="E8" s="93"/>
      <c r="F8" s="93"/>
      <c r="G8" s="96"/>
    </row>
    <row r="9" spans="1:10">
      <c r="A9" s="91" t="s">
        <v>7</v>
      </c>
      <c r="B9" s="92">
        <f>Register!B3</f>
        <v>1504</v>
      </c>
      <c r="C9" s="97"/>
      <c r="D9" s="97"/>
      <c r="E9" s="97"/>
      <c r="F9" s="97"/>
      <c r="G9" s="96"/>
    </row>
    <row r="10" spans="1:10">
      <c r="A10" s="98"/>
      <c r="B10" s="99"/>
      <c r="C10" s="97"/>
      <c r="D10" s="97"/>
      <c r="E10" s="97"/>
      <c r="F10" s="97"/>
      <c r="G10" s="96"/>
    </row>
    <row r="11" spans="1:10" ht="14.5" thickBot="1">
      <c r="A11" s="100"/>
      <c r="B11" s="101" t="s">
        <v>132</v>
      </c>
      <c r="C11" s="102"/>
      <c r="D11" s="102"/>
      <c r="E11" s="102"/>
      <c r="F11" s="102"/>
      <c r="G11" s="103"/>
    </row>
    <row r="12" spans="1:10" ht="14.5" thickBot="1">
      <c r="A12" s="104" t="s">
        <v>8</v>
      </c>
      <c r="B12" s="379" t="s">
        <v>9</v>
      </c>
      <c r="C12" s="380"/>
      <c r="D12" s="380"/>
      <c r="E12" s="381"/>
      <c r="F12" s="105" t="s">
        <v>10</v>
      </c>
      <c r="G12" s="106" t="s">
        <v>11</v>
      </c>
    </row>
    <row r="13" spans="1:10">
      <c r="A13" s="107"/>
      <c r="B13" s="108"/>
      <c r="C13" s="112" t="s">
        <v>12</v>
      </c>
      <c r="D13" s="112" t="s">
        <v>13</v>
      </c>
      <c r="E13" s="185" t="s">
        <v>14</v>
      </c>
      <c r="F13" s="164"/>
      <c r="G13" s="165"/>
      <c r="H13" s="184"/>
      <c r="I13" s="184"/>
    </row>
    <row r="14" spans="1:10" ht="26">
      <c r="A14" s="109"/>
      <c r="B14" s="332" t="s">
        <v>113</v>
      </c>
      <c r="C14" s="152"/>
      <c r="D14" s="150"/>
      <c r="E14" s="84"/>
      <c r="F14" s="166"/>
      <c r="G14" s="172"/>
      <c r="J14" s="331"/>
    </row>
    <row r="15" spans="1:10">
      <c r="A15" s="109">
        <v>1</v>
      </c>
      <c r="B15" s="82" t="s">
        <v>110</v>
      </c>
      <c r="C15" s="152"/>
      <c r="D15" s="150"/>
      <c r="E15" s="150"/>
      <c r="F15" s="166">
        <v>47500</v>
      </c>
      <c r="G15" s="172"/>
      <c r="I15" s="186"/>
      <c r="J15" s="331"/>
    </row>
    <row r="16" spans="1:10">
      <c r="A16" s="109"/>
      <c r="B16" s="82"/>
      <c r="C16" s="152"/>
      <c r="D16" s="150"/>
      <c r="E16" s="150"/>
      <c r="F16" s="166"/>
      <c r="G16" s="172"/>
      <c r="I16" s="186"/>
      <c r="J16" s="331"/>
    </row>
    <row r="17" spans="1:10">
      <c r="A17" s="109">
        <v>2</v>
      </c>
      <c r="B17" s="82" t="s">
        <v>111</v>
      </c>
      <c r="C17" s="152"/>
      <c r="D17" s="150"/>
      <c r="E17" s="84"/>
      <c r="F17" s="166">
        <v>0</v>
      </c>
      <c r="G17" s="172">
        <v>-25000</v>
      </c>
      <c r="I17" s="186"/>
      <c r="J17" s="186"/>
    </row>
    <row r="18" spans="1:10">
      <c r="A18" s="109">
        <v>3</v>
      </c>
      <c r="B18" s="82" t="s">
        <v>112</v>
      </c>
      <c r="C18" s="152"/>
      <c r="D18" s="150"/>
      <c r="E18" s="84"/>
      <c r="F18" s="166">
        <v>138000</v>
      </c>
      <c r="G18" s="172"/>
    </row>
    <row r="19" spans="1:10" ht="14.5" thickBot="1">
      <c r="A19" s="111">
        <v>4</v>
      </c>
      <c r="B19" s="87" t="s">
        <v>114</v>
      </c>
      <c r="C19" s="88"/>
      <c r="D19" s="89"/>
      <c r="E19" s="90"/>
      <c r="F19" s="170">
        <v>49452</v>
      </c>
      <c r="G19" s="171"/>
    </row>
    <row r="20" spans="1:10" ht="14.5" thickBot="1">
      <c r="A20" s="163" t="s">
        <v>17</v>
      </c>
      <c r="B20" s="8"/>
      <c r="C20" s="8"/>
      <c r="D20" s="8"/>
      <c r="F20" s="151">
        <f>SUM(F13:F19)</f>
        <v>234952</v>
      </c>
      <c r="G20" s="180">
        <f>SUM(G13:G19)</f>
        <v>-25000</v>
      </c>
    </row>
    <row r="21" spans="1:10">
      <c r="A21" s="163" t="s">
        <v>18</v>
      </c>
      <c r="F21" s="209">
        <f>F20+G20</f>
        <v>209952</v>
      </c>
      <c r="G21" s="210"/>
    </row>
    <row r="22" spans="1:10" ht="15" customHeight="1">
      <c r="A22" s="163" t="s">
        <v>19</v>
      </c>
      <c r="B22" s="163"/>
      <c r="F22" s="211">
        <f>F21*0.1</f>
        <v>20995.200000000001</v>
      </c>
      <c r="G22" s="218"/>
    </row>
    <row r="23" spans="1:10">
      <c r="A23" s="163" t="s">
        <v>20</v>
      </c>
      <c r="B23" s="163"/>
      <c r="F23" s="221">
        <f>F21+F22</f>
        <v>230947.20000000001</v>
      </c>
      <c r="G23" s="219"/>
    </row>
    <row r="24" spans="1:10" ht="14.5" thickBot="1">
      <c r="A24" s="163" t="s">
        <v>21</v>
      </c>
      <c r="B24" s="163"/>
      <c r="F24" s="212">
        <f>F23*0.1</f>
        <v>23094.720000000001</v>
      </c>
      <c r="G24" s="213"/>
    </row>
    <row r="25" spans="1:10" ht="14.5" thickBot="1">
      <c r="A25" s="163" t="s">
        <v>22</v>
      </c>
      <c r="B25" s="163"/>
      <c r="F25" s="374">
        <f>F23+F24</f>
        <v>254041.92</v>
      </c>
      <c r="G25" s="375"/>
    </row>
    <row r="26" spans="1:10">
      <c r="A26" s="163"/>
      <c r="C26" s="23"/>
      <c r="D26" s="23"/>
      <c r="E26" s="23"/>
      <c r="F26" s="23"/>
      <c r="G26" s="23"/>
    </row>
    <row r="27" spans="1:10" ht="14.5" thickBot="1">
      <c r="A27" s="163"/>
      <c r="C27" s="376"/>
      <c r="D27" s="376"/>
      <c r="E27" s="376"/>
      <c r="F27" s="376"/>
      <c r="G27" s="376"/>
    </row>
    <row r="28" spans="1:10">
      <c r="A28" s="34"/>
      <c r="B28" s="9"/>
      <c r="D28" s="29"/>
      <c r="F28" s="35" t="s">
        <v>23</v>
      </c>
      <c r="G28" s="36"/>
      <c r="I28" s="10"/>
      <c r="J28" s="10"/>
    </row>
    <row r="29" spans="1:10" ht="20.25" customHeight="1">
      <c r="A29" s="34"/>
      <c r="B29" s="9"/>
      <c r="D29" s="27"/>
      <c r="F29" s="136" t="s">
        <v>100</v>
      </c>
      <c r="G29" s="28"/>
      <c r="I29" s="11"/>
      <c r="J29" s="11"/>
    </row>
    <row r="30" spans="1:10" ht="15" customHeight="1">
      <c r="A30" s="34"/>
      <c r="B30" s="9"/>
      <c r="D30" s="27"/>
      <c r="F30" s="38"/>
      <c r="G30" s="12"/>
      <c r="I30" s="11"/>
      <c r="J30" s="11"/>
    </row>
    <row r="31" spans="1:10">
      <c r="A31" s="377" t="s">
        <v>24</v>
      </c>
      <c r="B31" s="377"/>
      <c r="D31" s="29"/>
      <c r="F31" s="30" t="s">
        <v>25</v>
      </c>
      <c r="G31" s="31"/>
      <c r="I31" s="10"/>
      <c r="J31" s="10"/>
    </row>
    <row r="32" spans="1:10">
      <c r="A32" s="26"/>
      <c r="B32" s="26"/>
      <c r="D32" s="13"/>
      <c r="F32" s="32"/>
      <c r="G32" s="37"/>
      <c r="I32" s="13"/>
      <c r="J32" s="13"/>
    </row>
    <row r="33" spans="1:10">
      <c r="A33" s="26"/>
      <c r="B33" s="26"/>
      <c r="D33" s="13"/>
      <c r="F33" s="38"/>
      <c r="G33" s="12"/>
      <c r="I33" s="13"/>
      <c r="J33" s="13"/>
    </row>
    <row r="34" spans="1:10" ht="14.5" thickBot="1">
      <c r="A34" s="378"/>
      <c r="B34" s="378"/>
      <c r="C34" s="15"/>
      <c r="D34" s="15"/>
      <c r="F34" s="14"/>
      <c r="G34" s="33"/>
    </row>
    <row r="35" spans="1:10">
      <c r="A35" s="34"/>
      <c r="B35" s="9"/>
      <c r="C35" s="15"/>
      <c r="D35" s="15"/>
      <c r="E35" s="13"/>
      <c r="F35" s="13"/>
      <c r="G35" s="13"/>
    </row>
    <row r="36" spans="1:10">
      <c r="C36" s="15"/>
      <c r="D36" s="15"/>
      <c r="E36" s="15"/>
      <c r="F36" s="15"/>
      <c r="G36" s="16"/>
    </row>
    <row r="37" spans="1:10">
      <c r="C37" s="15"/>
      <c r="D37" s="15"/>
      <c r="E37" s="15"/>
      <c r="F37" s="15"/>
      <c r="G37" s="16"/>
    </row>
    <row r="38" spans="1:10">
      <c r="C38" s="15"/>
      <c r="D38" s="15"/>
      <c r="E38" s="15"/>
      <c r="F38" s="15"/>
      <c r="G38" s="16"/>
    </row>
    <row r="39" spans="1:10">
      <c r="C39" s="15"/>
      <c r="D39" s="15"/>
      <c r="E39" s="15"/>
      <c r="F39" s="15"/>
      <c r="G39" s="16"/>
    </row>
    <row r="40" spans="1:10">
      <c r="A40" s="17"/>
      <c r="B40" s="18"/>
      <c r="C40" s="6"/>
      <c r="D40" s="6"/>
      <c r="E40" s="6"/>
      <c r="F40" s="6"/>
      <c r="G40" s="7"/>
    </row>
    <row r="41" spans="1:10">
      <c r="A41" s="17"/>
      <c r="B41" s="18"/>
      <c r="C41" s="6"/>
      <c r="D41" s="6"/>
      <c r="E41" s="6"/>
      <c r="F41" s="6"/>
      <c r="G41" s="7"/>
    </row>
    <row r="42" spans="1:10">
      <c r="A42" s="17"/>
      <c r="B42" s="18"/>
      <c r="C42" s="6"/>
      <c r="D42" s="6"/>
      <c r="E42" s="6"/>
      <c r="F42" s="6"/>
      <c r="G42" s="7"/>
    </row>
    <row r="43" spans="1:10">
      <c r="A43" s="17"/>
      <c r="B43" s="18"/>
      <c r="C43" s="6"/>
      <c r="D43" s="6"/>
      <c r="E43" s="6"/>
      <c r="F43" s="6"/>
      <c r="G43" s="7"/>
    </row>
    <row r="44" spans="1:10">
      <c r="A44" s="17"/>
      <c r="B44" s="18"/>
      <c r="C44" s="6"/>
      <c r="D44" s="6"/>
      <c r="E44" s="6"/>
      <c r="F44" s="6"/>
      <c r="G44" s="7"/>
    </row>
    <row r="45" spans="1:10">
      <c r="A45" s="17"/>
      <c r="B45" s="18"/>
      <c r="C45" s="6"/>
      <c r="D45" s="6"/>
      <c r="E45" s="6"/>
      <c r="F45" s="6"/>
      <c r="G45" s="7"/>
    </row>
    <row r="46" spans="1:10">
      <c r="A46" s="19"/>
      <c r="B46" s="20"/>
      <c r="C46" s="6"/>
      <c r="D46" s="6"/>
      <c r="E46" s="6"/>
      <c r="F46" s="6"/>
      <c r="G46" s="21"/>
    </row>
    <row r="47" spans="1:10">
      <c r="A47" s="17"/>
      <c r="B47" s="18"/>
      <c r="C47" s="6"/>
      <c r="D47" s="6"/>
      <c r="E47" s="6"/>
      <c r="F47" s="6"/>
      <c r="G47" s="7"/>
    </row>
    <row r="48" spans="1:10">
      <c r="A48" s="19"/>
      <c r="B48" s="20"/>
      <c r="C48" s="6"/>
      <c r="D48" s="6"/>
      <c r="E48" s="6"/>
      <c r="F48" s="6"/>
      <c r="G48" s="21"/>
    </row>
    <row r="49" spans="1:7">
      <c r="A49" s="17"/>
      <c r="B49" s="18"/>
      <c r="C49" s="6"/>
      <c r="D49" s="6"/>
      <c r="E49" s="6"/>
      <c r="F49" s="6"/>
      <c r="G49" s="7"/>
    </row>
    <row r="50" spans="1:7">
      <c r="A50" s="19"/>
      <c r="B50" s="20"/>
      <c r="C50" s="6"/>
      <c r="D50" s="6"/>
      <c r="E50" s="6"/>
      <c r="F50" s="6"/>
      <c r="G50" s="21"/>
    </row>
    <row r="51" spans="1:7">
      <c r="A51" s="17"/>
      <c r="B51" s="18"/>
      <c r="C51" s="6"/>
      <c r="D51" s="6"/>
      <c r="E51" s="6"/>
      <c r="F51" s="6"/>
      <c r="G51" s="7"/>
    </row>
    <row r="52" spans="1:7">
      <c r="A52" s="17"/>
      <c r="B52" s="18"/>
      <c r="C52" s="6"/>
      <c r="D52" s="6"/>
      <c r="E52" s="6"/>
      <c r="F52" s="6"/>
      <c r="G52" s="7"/>
    </row>
    <row r="53" spans="1:7">
      <c r="A53" s="17"/>
      <c r="B53" s="18"/>
      <c r="C53" s="6"/>
      <c r="D53" s="6"/>
      <c r="E53" s="6"/>
      <c r="F53" s="6"/>
      <c r="G53" s="7"/>
    </row>
    <row r="54" spans="1:7">
      <c r="A54" s="17"/>
      <c r="B54" s="18"/>
      <c r="C54" s="6"/>
      <c r="D54" s="6"/>
      <c r="E54" s="6"/>
      <c r="F54" s="6"/>
      <c r="G54" s="7"/>
    </row>
    <row r="55" spans="1:7">
      <c r="A55" s="17"/>
      <c r="B55" s="18"/>
      <c r="C55" s="6"/>
      <c r="D55" s="6"/>
      <c r="E55" s="6"/>
      <c r="F55" s="6"/>
      <c r="G55" s="7"/>
    </row>
    <row r="56" spans="1:7">
      <c r="A56" s="17"/>
      <c r="B56" s="18"/>
      <c r="C56" s="6"/>
      <c r="D56" s="6"/>
      <c r="E56" s="6"/>
      <c r="F56" s="6"/>
      <c r="G56" s="7"/>
    </row>
  </sheetData>
  <mergeCells count="6">
    <mergeCell ref="A34:B34"/>
    <mergeCell ref="A4:G4"/>
    <mergeCell ref="B12:E12"/>
    <mergeCell ref="F25:G25"/>
    <mergeCell ref="C27:G27"/>
    <mergeCell ref="A31:B31"/>
  </mergeCells>
  <phoneticPr fontId="81" type="noConversion"/>
  <pageMargins left="0.25" right="0.25" top="0.75" bottom="0.75" header="0.3" footer="0.3"/>
  <pageSetup paperSize="9" scale="7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DA7B-D836-4EBD-80CF-8BDD213C2CE0}">
  <sheetPr>
    <tabColor rgb="FF92D050"/>
    <pageSetUpPr fitToPage="1"/>
  </sheetPr>
  <dimension ref="A1:J89"/>
  <sheetViews>
    <sheetView zoomScaleNormal="100" workbookViewId="0">
      <selection activeCell="B24" sqref="B24"/>
    </sheetView>
  </sheetViews>
  <sheetFormatPr defaultColWidth="8.81640625" defaultRowHeight="15"/>
  <cols>
    <col min="1" max="1" width="11.81640625" style="233" customWidth="1"/>
    <col min="2" max="2" width="58.26953125" style="259" customWidth="1"/>
    <col min="3" max="4" width="10.81640625" style="225" customWidth="1"/>
    <col min="5" max="5" width="13.81640625" style="355" customWidth="1"/>
    <col min="6" max="6" width="13.54296875" style="225" customWidth="1"/>
    <col min="7" max="7" width="13.54296875" style="226" customWidth="1"/>
    <col min="8" max="10" width="8.81640625" style="225"/>
    <col min="11" max="11" width="25.7265625" style="225" customWidth="1"/>
    <col min="12" max="16384" width="8.81640625" style="225"/>
  </cols>
  <sheetData>
    <row r="1" spans="1:7">
      <c r="A1" s="223"/>
      <c r="B1" s="224"/>
    </row>
    <row r="2" spans="1:7">
      <c r="A2" s="223"/>
      <c r="B2" s="224"/>
    </row>
    <row r="4" spans="1:7">
      <c r="A4" s="370" t="s">
        <v>0</v>
      </c>
      <c r="B4" s="370"/>
      <c r="C4" s="370"/>
      <c r="D4" s="370"/>
      <c r="E4" s="370"/>
      <c r="F4" s="370"/>
      <c r="G4" s="370"/>
    </row>
    <row r="5" spans="1:7">
      <c r="A5" s="4"/>
      <c r="B5" s="24"/>
      <c r="C5" s="162"/>
      <c r="D5" s="162"/>
      <c r="E5" s="356"/>
      <c r="F5" s="162"/>
      <c r="G5" s="5"/>
    </row>
    <row r="6" spans="1:7">
      <c r="A6" s="227" t="s">
        <v>1</v>
      </c>
      <c r="B6" s="228" t="s">
        <v>61</v>
      </c>
      <c r="D6" s="229"/>
      <c r="E6" s="357"/>
      <c r="F6" s="229" t="s">
        <v>2</v>
      </c>
      <c r="G6" s="230">
        <f ca="1">TODAY()</f>
        <v>46187</v>
      </c>
    </row>
    <row r="7" spans="1:7">
      <c r="A7" s="227" t="s">
        <v>3</v>
      </c>
      <c r="B7" s="228" t="s">
        <v>4</v>
      </c>
      <c r="D7" s="231"/>
      <c r="E7" s="358"/>
      <c r="F7" s="231" t="s">
        <v>5</v>
      </c>
    </row>
    <row r="8" spans="1:7">
      <c r="A8" s="227" t="s">
        <v>6</v>
      </c>
      <c r="B8" s="228" t="s">
        <v>60</v>
      </c>
    </row>
    <row r="9" spans="1:7">
      <c r="A9" s="227" t="s">
        <v>7</v>
      </c>
      <c r="B9" s="228">
        <v>1504</v>
      </c>
      <c r="C9" s="232"/>
      <c r="D9" s="232"/>
      <c r="E9" s="359"/>
      <c r="F9" s="232"/>
    </row>
    <row r="10" spans="1:7">
      <c r="B10" s="234"/>
      <c r="C10" s="232"/>
      <c r="D10" s="232"/>
      <c r="E10" s="359"/>
      <c r="F10" s="232"/>
    </row>
    <row r="11" spans="1:7" ht="15.5" thickBot="1">
      <c r="A11" s="235"/>
      <c r="B11" s="236" t="s">
        <v>139</v>
      </c>
      <c r="C11" s="237"/>
      <c r="D11" s="237"/>
      <c r="E11" s="360"/>
      <c r="F11" s="237"/>
      <c r="G11" s="238"/>
    </row>
    <row r="12" spans="1:7" ht="15.5" thickBot="1">
      <c r="A12" s="239" t="s">
        <v>8</v>
      </c>
      <c r="B12" s="371" t="s">
        <v>9</v>
      </c>
      <c r="C12" s="372"/>
      <c r="D12" s="372"/>
      <c r="E12" s="373"/>
      <c r="F12" s="240" t="s">
        <v>10</v>
      </c>
      <c r="G12" s="241" t="s">
        <v>11</v>
      </c>
    </row>
    <row r="13" spans="1:7">
      <c r="A13" s="354" t="s">
        <v>166</v>
      </c>
      <c r="B13" s="338" t="s">
        <v>140</v>
      </c>
      <c r="C13" s="244" t="s">
        <v>12</v>
      </c>
      <c r="D13" s="244" t="s">
        <v>13</v>
      </c>
      <c r="E13" s="361" t="s">
        <v>14</v>
      </c>
      <c r="F13" s="245"/>
      <c r="G13" s="246"/>
    </row>
    <row r="14" spans="1:7" ht="16.149999999999999" customHeight="1">
      <c r="A14" s="247">
        <v>101</v>
      </c>
      <c r="B14" s="248" t="s">
        <v>152</v>
      </c>
      <c r="C14" s="249" t="s">
        <v>15</v>
      </c>
      <c r="D14" s="250" t="s">
        <v>66</v>
      </c>
      <c r="E14" s="250">
        <v>6250</v>
      </c>
      <c r="F14" s="251">
        <f>C14*E14</f>
        <v>6250</v>
      </c>
      <c r="G14" s="246"/>
    </row>
    <row r="15" spans="1:7">
      <c r="A15" s="247"/>
      <c r="B15" s="248" t="s">
        <v>156</v>
      </c>
      <c r="C15" s="249" t="s">
        <v>15</v>
      </c>
      <c r="D15" s="250" t="s">
        <v>66</v>
      </c>
      <c r="E15" s="250">
        <v>2480</v>
      </c>
      <c r="F15" s="251">
        <f t="shared" ref="F15:F57" si="0">C15*E15</f>
        <v>2480</v>
      </c>
      <c r="G15" s="246"/>
    </row>
    <row r="16" spans="1:7">
      <c r="A16" s="247"/>
      <c r="B16" s="248" t="s">
        <v>157</v>
      </c>
      <c r="C16" s="249" t="s">
        <v>15</v>
      </c>
      <c r="D16" s="250" t="s">
        <v>66</v>
      </c>
      <c r="E16" s="250">
        <v>1750</v>
      </c>
      <c r="F16" s="251">
        <f t="shared" si="0"/>
        <v>1750</v>
      </c>
      <c r="G16" s="246"/>
    </row>
    <row r="17" spans="1:7">
      <c r="A17" s="247">
        <v>102</v>
      </c>
      <c r="B17" s="248" t="s">
        <v>146</v>
      </c>
      <c r="C17" s="249" t="s">
        <v>15</v>
      </c>
      <c r="D17" s="250" t="s">
        <v>66</v>
      </c>
      <c r="E17" s="250">
        <v>1750</v>
      </c>
      <c r="F17" s="251">
        <f t="shared" si="0"/>
        <v>1750</v>
      </c>
      <c r="G17" s="246"/>
    </row>
    <row r="18" spans="1:7">
      <c r="A18" s="247"/>
      <c r="B18" s="248" t="s">
        <v>155</v>
      </c>
      <c r="C18" s="249" t="s">
        <v>15</v>
      </c>
      <c r="D18" s="250" t="s">
        <v>66</v>
      </c>
      <c r="E18" s="250">
        <v>580</v>
      </c>
      <c r="F18" s="251">
        <f t="shared" si="0"/>
        <v>580</v>
      </c>
      <c r="G18" s="246"/>
    </row>
    <row r="19" spans="1:7">
      <c r="A19" s="253"/>
      <c r="B19" s="248" t="s">
        <v>158</v>
      </c>
      <c r="C19" s="249" t="s">
        <v>15</v>
      </c>
      <c r="D19" s="250" t="s">
        <v>66</v>
      </c>
      <c r="E19" s="250">
        <v>3450</v>
      </c>
      <c r="F19" s="251">
        <f t="shared" si="0"/>
        <v>3450</v>
      </c>
      <c r="G19" s="246"/>
    </row>
    <row r="20" spans="1:7">
      <c r="A20" s="247"/>
      <c r="B20" s="248" t="s">
        <v>159</v>
      </c>
      <c r="C20" s="249" t="s">
        <v>15</v>
      </c>
      <c r="D20" s="250" t="s">
        <v>66</v>
      </c>
      <c r="E20" s="250">
        <v>3649</v>
      </c>
      <c r="F20" s="251">
        <f t="shared" si="0"/>
        <v>3649</v>
      </c>
      <c r="G20" s="246"/>
    </row>
    <row r="21" spans="1:7">
      <c r="A21" s="247">
        <v>201</v>
      </c>
      <c r="B21" s="248" t="s">
        <v>152</v>
      </c>
      <c r="C21" s="249" t="s">
        <v>15</v>
      </c>
      <c r="D21" s="250" t="s">
        <v>66</v>
      </c>
      <c r="E21" s="250">
        <v>6250</v>
      </c>
      <c r="F21" s="251">
        <f t="shared" si="0"/>
        <v>6250</v>
      </c>
      <c r="G21" s="246"/>
    </row>
    <row r="22" spans="1:7" ht="16.149999999999999" customHeight="1">
      <c r="A22" s="247"/>
      <c r="B22" s="248" t="s">
        <v>160</v>
      </c>
      <c r="C22" s="249" t="s">
        <v>15</v>
      </c>
      <c r="D22" s="250" t="s">
        <v>66</v>
      </c>
      <c r="E22" s="250">
        <v>1750</v>
      </c>
      <c r="F22" s="251">
        <f t="shared" si="0"/>
        <v>1750</v>
      </c>
      <c r="G22" s="246"/>
    </row>
    <row r="23" spans="1:7">
      <c r="A23" s="247">
        <v>204</v>
      </c>
      <c r="B23" s="248" t="s">
        <v>161</v>
      </c>
      <c r="C23" s="249" t="s">
        <v>15</v>
      </c>
      <c r="D23" s="250" t="s">
        <v>66</v>
      </c>
      <c r="E23" s="250">
        <v>6250</v>
      </c>
      <c r="F23" s="251">
        <f t="shared" si="0"/>
        <v>6250</v>
      </c>
      <c r="G23" s="246"/>
    </row>
    <row r="24" spans="1:7">
      <c r="A24" s="247"/>
      <c r="B24" s="248" t="s">
        <v>147</v>
      </c>
      <c r="C24" s="249" t="s">
        <v>15</v>
      </c>
      <c r="D24" s="250" t="s">
        <v>66</v>
      </c>
      <c r="E24" s="250">
        <v>3450</v>
      </c>
      <c r="F24" s="251">
        <f t="shared" si="0"/>
        <v>3450</v>
      </c>
      <c r="G24" s="246"/>
    </row>
    <row r="25" spans="1:7">
      <c r="A25" s="247"/>
      <c r="B25" s="248" t="s">
        <v>162</v>
      </c>
      <c r="C25" s="249" t="s">
        <v>15</v>
      </c>
      <c r="D25" s="250" t="s">
        <v>66</v>
      </c>
      <c r="E25" s="250">
        <v>8590</v>
      </c>
      <c r="F25" s="251">
        <f t="shared" si="0"/>
        <v>8590</v>
      </c>
      <c r="G25" s="246"/>
    </row>
    <row r="26" spans="1:7">
      <c r="A26" s="247">
        <v>308</v>
      </c>
      <c r="B26" s="248" t="s">
        <v>147</v>
      </c>
      <c r="C26" s="249" t="s">
        <v>15</v>
      </c>
      <c r="D26" s="250" t="s">
        <v>66</v>
      </c>
      <c r="E26" s="250">
        <v>3450</v>
      </c>
      <c r="F26" s="251">
        <f t="shared" si="0"/>
        <v>3450</v>
      </c>
      <c r="G26" s="246"/>
    </row>
    <row r="27" spans="1:7">
      <c r="A27" s="253"/>
      <c r="B27" s="248"/>
      <c r="C27" s="249" t="s">
        <v>15</v>
      </c>
      <c r="D27" s="250" t="s">
        <v>66</v>
      </c>
      <c r="E27" s="250"/>
      <c r="F27" s="251">
        <f t="shared" si="0"/>
        <v>0</v>
      </c>
      <c r="G27" s="246"/>
    </row>
    <row r="28" spans="1:7">
      <c r="A28" s="247"/>
      <c r="B28" s="248" t="s">
        <v>162</v>
      </c>
      <c r="C28" s="249" t="s">
        <v>15</v>
      </c>
      <c r="D28" s="250" t="s">
        <v>66</v>
      </c>
      <c r="E28" s="250">
        <v>8590</v>
      </c>
      <c r="F28" s="251">
        <f t="shared" si="0"/>
        <v>8590</v>
      </c>
      <c r="G28" s="246"/>
    </row>
    <row r="29" spans="1:7">
      <c r="A29" s="247"/>
      <c r="B29" s="248" t="s">
        <v>163</v>
      </c>
      <c r="C29" s="249" t="s">
        <v>15</v>
      </c>
      <c r="D29" s="250" t="s">
        <v>66</v>
      </c>
      <c r="E29" s="250">
        <v>3649</v>
      </c>
      <c r="F29" s="251">
        <f t="shared" si="0"/>
        <v>3649</v>
      </c>
      <c r="G29" s="246"/>
    </row>
    <row r="30" spans="1:7" ht="16.149999999999999" customHeight="1">
      <c r="A30" s="247">
        <v>402</v>
      </c>
      <c r="B30" s="248" t="s">
        <v>164</v>
      </c>
      <c r="C30" s="249" t="s">
        <v>15</v>
      </c>
      <c r="D30" s="250" t="s">
        <v>66</v>
      </c>
      <c r="E30" s="250">
        <v>6250</v>
      </c>
      <c r="F30" s="251">
        <f t="shared" si="0"/>
        <v>6250</v>
      </c>
      <c r="G30" s="246"/>
    </row>
    <row r="31" spans="1:7" ht="30">
      <c r="A31" s="247"/>
      <c r="B31" s="248" t="s">
        <v>165</v>
      </c>
      <c r="C31" s="249" t="s">
        <v>15</v>
      </c>
      <c r="D31" s="250" t="s">
        <v>66</v>
      </c>
      <c r="E31" s="250">
        <v>8590</v>
      </c>
      <c r="F31" s="251">
        <f t="shared" si="0"/>
        <v>8590</v>
      </c>
      <c r="G31" s="246"/>
    </row>
    <row r="32" spans="1:7">
      <c r="A32" s="247"/>
      <c r="B32" s="248" t="s">
        <v>143</v>
      </c>
      <c r="C32" s="249" t="s">
        <v>15</v>
      </c>
      <c r="D32" s="250" t="s">
        <v>66</v>
      </c>
      <c r="E32" s="250">
        <v>1750</v>
      </c>
      <c r="F32" s="251">
        <f t="shared" si="0"/>
        <v>1750</v>
      </c>
      <c r="G32" s="246"/>
    </row>
    <row r="33" spans="1:7">
      <c r="A33" s="247">
        <v>403</v>
      </c>
      <c r="B33" s="248" t="s">
        <v>144</v>
      </c>
      <c r="C33" s="249" t="s">
        <v>15</v>
      </c>
      <c r="D33" s="250" t="s">
        <v>66</v>
      </c>
      <c r="E33" s="250">
        <v>6250</v>
      </c>
      <c r="F33" s="251">
        <f t="shared" si="0"/>
        <v>6250</v>
      </c>
      <c r="G33" s="246"/>
    </row>
    <row r="34" spans="1:7">
      <c r="A34" s="247"/>
      <c r="B34" s="248" t="s">
        <v>145</v>
      </c>
      <c r="C34" s="249" t="s">
        <v>15</v>
      </c>
      <c r="D34" s="250" t="s">
        <v>66</v>
      </c>
      <c r="E34" s="250">
        <v>2750</v>
      </c>
      <c r="F34" s="251">
        <f t="shared" si="0"/>
        <v>2750</v>
      </c>
      <c r="G34" s="246"/>
    </row>
    <row r="35" spans="1:7" ht="16.149999999999999" customHeight="1">
      <c r="A35" s="247"/>
      <c r="B35" s="248" t="s">
        <v>146</v>
      </c>
      <c r="C35" s="249" t="s">
        <v>15</v>
      </c>
      <c r="D35" s="250" t="s">
        <v>66</v>
      </c>
      <c r="E35" s="250">
        <v>1750</v>
      </c>
      <c r="F35" s="251">
        <f t="shared" si="0"/>
        <v>1750</v>
      </c>
      <c r="G35" s="246"/>
    </row>
    <row r="36" spans="1:7">
      <c r="A36" s="247">
        <v>404</v>
      </c>
      <c r="B36" s="248" t="s">
        <v>147</v>
      </c>
      <c r="C36" s="249" t="s">
        <v>15</v>
      </c>
      <c r="D36" s="250" t="s">
        <v>66</v>
      </c>
      <c r="E36" s="250">
        <v>3450</v>
      </c>
      <c r="F36" s="251">
        <f t="shared" si="0"/>
        <v>3450</v>
      </c>
      <c r="G36" s="246"/>
    </row>
    <row r="37" spans="1:7">
      <c r="A37" s="247"/>
      <c r="B37" s="248" t="s">
        <v>148</v>
      </c>
      <c r="C37" s="249" t="s">
        <v>15</v>
      </c>
      <c r="D37" s="250" t="s">
        <v>66</v>
      </c>
      <c r="E37" s="250">
        <v>8590</v>
      </c>
      <c r="F37" s="251">
        <f t="shared" si="0"/>
        <v>8590</v>
      </c>
      <c r="G37" s="246"/>
    </row>
    <row r="38" spans="1:7">
      <c r="A38" s="247"/>
      <c r="B38" s="248" t="s">
        <v>149</v>
      </c>
      <c r="C38" s="249" t="s">
        <v>15</v>
      </c>
      <c r="D38" s="250" t="s">
        <v>66</v>
      </c>
      <c r="E38" s="250">
        <v>1649</v>
      </c>
      <c r="F38" s="251">
        <f t="shared" si="0"/>
        <v>1649</v>
      </c>
      <c r="G38" s="246"/>
    </row>
    <row r="39" spans="1:7">
      <c r="A39" s="247"/>
      <c r="B39" s="248" t="s">
        <v>150</v>
      </c>
      <c r="C39" s="249" t="s">
        <v>15</v>
      </c>
      <c r="D39" s="250" t="s">
        <v>66</v>
      </c>
      <c r="E39" s="250">
        <v>2480</v>
      </c>
      <c r="F39" s="251">
        <f t="shared" si="0"/>
        <v>2480</v>
      </c>
      <c r="G39" s="246"/>
    </row>
    <row r="40" spans="1:7">
      <c r="A40" s="253"/>
      <c r="B40" s="248" t="s">
        <v>145</v>
      </c>
      <c r="C40" s="249" t="s">
        <v>15</v>
      </c>
      <c r="D40" s="250" t="s">
        <v>66</v>
      </c>
      <c r="E40" s="250">
        <v>2750</v>
      </c>
      <c r="F40" s="251">
        <f t="shared" si="0"/>
        <v>2750</v>
      </c>
      <c r="G40" s="246"/>
    </row>
    <row r="41" spans="1:7">
      <c r="A41" s="247">
        <v>407</v>
      </c>
      <c r="B41" s="248" t="s">
        <v>149</v>
      </c>
      <c r="C41" s="249" t="s">
        <v>15</v>
      </c>
      <c r="D41" s="250" t="s">
        <v>66</v>
      </c>
      <c r="E41" s="250">
        <v>1649</v>
      </c>
      <c r="F41" s="251">
        <f t="shared" si="0"/>
        <v>1649</v>
      </c>
      <c r="G41" s="246"/>
    </row>
    <row r="42" spans="1:7">
      <c r="A42" s="247"/>
      <c r="B42" s="248" t="s">
        <v>145</v>
      </c>
      <c r="C42" s="249" t="s">
        <v>15</v>
      </c>
      <c r="D42" s="250" t="s">
        <v>66</v>
      </c>
      <c r="E42" s="250">
        <v>2750</v>
      </c>
      <c r="F42" s="251">
        <f t="shared" si="0"/>
        <v>2750</v>
      </c>
      <c r="G42" s="246"/>
    </row>
    <row r="43" spans="1:7" ht="16.149999999999999" customHeight="1">
      <c r="A43" s="247">
        <v>601</v>
      </c>
      <c r="B43" s="248" t="s">
        <v>151</v>
      </c>
      <c r="C43" s="249" t="s">
        <v>15</v>
      </c>
      <c r="D43" s="250" t="s">
        <v>66</v>
      </c>
      <c r="E43" s="250">
        <v>6250</v>
      </c>
      <c r="F43" s="251">
        <f t="shared" si="0"/>
        <v>6250</v>
      </c>
      <c r="G43" s="246"/>
    </row>
    <row r="44" spans="1:7">
      <c r="A44" s="247"/>
      <c r="B44" s="248" t="s">
        <v>146</v>
      </c>
      <c r="C44" s="249" t="s">
        <v>15</v>
      </c>
      <c r="D44" s="250" t="s">
        <v>66</v>
      </c>
      <c r="E44" s="250">
        <v>1750</v>
      </c>
      <c r="F44" s="251">
        <f t="shared" si="0"/>
        <v>1750</v>
      </c>
      <c r="G44" s="246"/>
    </row>
    <row r="45" spans="1:7">
      <c r="A45" s="247">
        <v>602</v>
      </c>
      <c r="B45" s="248" t="s">
        <v>152</v>
      </c>
      <c r="C45" s="249" t="s">
        <v>15</v>
      </c>
      <c r="D45" s="250" t="s">
        <v>66</v>
      </c>
      <c r="E45" s="250">
        <v>6250</v>
      </c>
      <c r="F45" s="251">
        <f t="shared" si="0"/>
        <v>6250</v>
      </c>
      <c r="G45" s="246"/>
    </row>
    <row r="46" spans="1:7">
      <c r="A46" s="247"/>
      <c r="B46" s="248" t="s">
        <v>147</v>
      </c>
      <c r="C46" s="249" t="s">
        <v>15</v>
      </c>
      <c r="D46" s="250" t="s">
        <v>66</v>
      </c>
      <c r="E46" s="250">
        <v>3450</v>
      </c>
      <c r="F46" s="251">
        <f t="shared" si="0"/>
        <v>3450</v>
      </c>
      <c r="G46" s="246"/>
    </row>
    <row r="47" spans="1:7">
      <c r="A47" s="247"/>
      <c r="B47" s="248" t="s">
        <v>145</v>
      </c>
      <c r="C47" s="249" t="s">
        <v>15</v>
      </c>
      <c r="D47" s="250" t="s">
        <v>66</v>
      </c>
      <c r="E47" s="250">
        <v>2750</v>
      </c>
      <c r="F47" s="251">
        <f t="shared" si="0"/>
        <v>2750</v>
      </c>
      <c r="G47" s="246"/>
    </row>
    <row r="48" spans="1:7">
      <c r="A48" s="253"/>
      <c r="B48" s="248" t="s">
        <v>153</v>
      </c>
      <c r="C48" s="249" t="s">
        <v>15</v>
      </c>
      <c r="D48" s="250" t="s">
        <v>66</v>
      </c>
      <c r="E48" s="250">
        <v>1750</v>
      </c>
      <c r="F48" s="251">
        <f t="shared" si="0"/>
        <v>1750</v>
      </c>
      <c r="G48" s="246"/>
    </row>
    <row r="49" spans="1:7">
      <c r="A49" s="247"/>
      <c r="B49" s="248" t="s">
        <v>148</v>
      </c>
      <c r="C49" s="249" t="s">
        <v>15</v>
      </c>
      <c r="D49" s="250" t="s">
        <v>66</v>
      </c>
      <c r="E49" s="250">
        <v>8590</v>
      </c>
      <c r="F49" s="251">
        <f t="shared" si="0"/>
        <v>8590</v>
      </c>
      <c r="G49" s="246"/>
    </row>
    <row r="50" spans="1:7">
      <c r="A50" s="247">
        <v>604</v>
      </c>
      <c r="B50" s="248" t="s">
        <v>144</v>
      </c>
      <c r="C50" s="249" t="s">
        <v>15</v>
      </c>
      <c r="D50" s="250" t="s">
        <v>66</v>
      </c>
      <c r="E50" s="250">
        <v>6250</v>
      </c>
      <c r="F50" s="251">
        <f t="shared" si="0"/>
        <v>6250</v>
      </c>
      <c r="G50" s="246"/>
    </row>
    <row r="51" spans="1:7" ht="16.149999999999999" customHeight="1">
      <c r="A51" s="247"/>
      <c r="B51" s="248" t="s">
        <v>145</v>
      </c>
      <c r="C51" s="249" t="s">
        <v>15</v>
      </c>
      <c r="D51" s="250" t="s">
        <v>66</v>
      </c>
      <c r="E51" s="250">
        <v>2750</v>
      </c>
      <c r="F51" s="251">
        <f t="shared" si="0"/>
        <v>2750</v>
      </c>
      <c r="G51" s="246"/>
    </row>
    <row r="52" spans="1:7">
      <c r="A52" s="247"/>
      <c r="B52" s="248" t="s">
        <v>154</v>
      </c>
      <c r="C52" s="249" t="s">
        <v>15</v>
      </c>
      <c r="D52" s="250" t="s">
        <v>66</v>
      </c>
      <c r="E52" s="250">
        <v>2480</v>
      </c>
      <c r="F52" s="251">
        <f t="shared" si="0"/>
        <v>2480</v>
      </c>
      <c r="G52" s="246"/>
    </row>
    <row r="53" spans="1:7">
      <c r="A53" s="247"/>
      <c r="B53" s="248" t="s">
        <v>146</v>
      </c>
      <c r="C53" s="249" t="s">
        <v>15</v>
      </c>
      <c r="D53" s="250" t="s">
        <v>66</v>
      </c>
      <c r="E53" s="250">
        <v>1750</v>
      </c>
      <c r="F53" s="251">
        <f t="shared" si="0"/>
        <v>1750</v>
      </c>
      <c r="G53" s="246"/>
    </row>
    <row r="54" spans="1:7">
      <c r="A54" s="247">
        <v>704</v>
      </c>
      <c r="B54" s="248" t="s">
        <v>147</v>
      </c>
      <c r="C54" s="249" t="s">
        <v>15</v>
      </c>
      <c r="D54" s="250" t="s">
        <v>66</v>
      </c>
      <c r="E54" s="250">
        <v>3450</v>
      </c>
      <c r="F54" s="251">
        <f t="shared" si="0"/>
        <v>3450</v>
      </c>
      <c r="G54" s="246"/>
    </row>
    <row r="55" spans="1:7">
      <c r="A55" s="247"/>
      <c r="B55" s="248" t="s">
        <v>145</v>
      </c>
      <c r="C55" s="249" t="s">
        <v>15</v>
      </c>
      <c r="D55" s="250" t="s">
        <v>66</v>
      </c>
      <c r="E55" s="250">
        <v>2700</v>
      </c>
      <c r="F55" s="251">
        <f t="shared" si="0"/>
        <v>2700</v>
      </c>
      <c r="G55" s="246"/>
    </row>
    <row r="56" spans="1:7">
      <c r="A56" s="253"/>
      <c r="B56" s="248" t="s">
        <v>146</v>
      </c>
      <c r="C56" s="249" t="s">
        <v>15</v>
      </c>
      <c r="D56" s="250" t="s">
        <v>66</v>
      </c>
      <c r="E56" s="250">
        <v>1750</v>
      </c>
      <c r="F56" s="251">
        <f t="shared" si="0"/>
        <v>1750</v>
      </c>
      <c r="G56" s="246"/>
    </row>
    <row r="57" spans="1:7">
      <c r="A57" s="247"/>
      <c r="B57" s="248" t="s">
        <v>155</v>
      </c>
      <c r="C57" s="249" t="s">
        <v>15</v>
      </c>
      <c r="D57" s="250" t="s">
        <v>66</v>
      </c>
      <c r="E57" s="250">
        <v>580</v>
      </c>
      <c r="F57" s="251">
        <f t="shared" si="0"/>
        <v>580</v>
      </c>
      <c r="G57" s="246"/>
    </row>
    <row r="58" spans="1:7" ht="15.5" thickBot="1">
      <c r="A58" s="247"/>
      <c r="B58" s="248"/>
      <c r="C58" s="249"/>
      <c r="D58" s="250"/>
      <c r="E58" s="250"/>
      <c r="F58" s="251"/>
      <c r="G58" s="246"/>
    </row>
    <row r="59" spans="1:7" ht="15.5" thickBot="1">
      <c r="A59" s="255" t="s">
        <v>17</v>
      </c>
      <c r="B59" s="256"/>
      <c r="C59" s="256"/>
      <c r="D59" s="256"/>
      <c r="F59" s="257">
        <f>SUM(F13:F58)</f>
        <v>165046</v>
      </c>
      <c r="G59" s="258">
        <f>SUM(G13:G58)</f>
        <v>0</v>
      </c>
    </row>
    <row r="60" spans="1:7">
      <c r="A60" s="255" t="s">
        <v>18</v>
      </c>
      <c r="F60" s="260">
        <f>F59-G59</f>
        <v>165046</v>
      </c>
      <c r="G60" s="261"/>
    </row>
    <row r="61" spans="1:7" ht="15" customHeight="1">
      <c r="A61" s="255" t="s">
        <v>19</v>
      </c>
      <c r="B61" s="255"/>
      <c r="F61" s="262">
        <f>F60*0.1</f>
        <v>16504.600000000002</v>
      </c>
      <c r="G61" s="263"/>
    </row>
    <row r="62" spans="1:7">
      <c r="A62" s="255" t="s">
        <v>20</v>
      </c>
      <c r="B62" s="255"/>
      <c r="F62" s="264">
        <f>F60+F61</f>
        <v>181550.6</v>
      </c>
      <c r="G62" s="265"/>
    </row>
    <row r="63" spans="1:7" ht="15.5" thickBot="1">
      <c r="A63" s="255" t="s">
        <v>21</v>
      </c>
      <c r="B63" s="255"/>
      <c r="F63" s="266">
        <f>F62*0.1</f>
        <v>18155.060000000001</v>
      </c>
      <c r="G63" s="267"/>
    </row>
    <row r="64" spans="1:7" ht="15.5" thickBot="1">
      <c r="A64" s="255" t="s">
        <v>22</v>
      </c>
      <c r="B64" s="255"/>
      <c r="F64" s="365">
        <f>F62+F63</f>
        <v>199705.66</v>
      </c>
      <c r="G64" s="366"/>
    </row>
    <row r="65" spans="1:10">
      <c r="A65" s="255"/>
      <c r="C65" s="259"/>
      <c r="D65" s="259"/>
      <c r="E65" s="362"/>
      <c r="F65" s="259"/>
      <c r="G65" s="259"/>
    </row>
    <row r="66" spans="1:10" ht="15.5" thickBot="1">
      <c r="A66" s="255"/>
      <c r="C66" s="367"/>
      <c r="D66" s="367"/>
      <c r="E66" s="367"/>
      <c r="F66" s="367"/>
      <c r="G66" s="367"/>
    </row>
    <row r="67" spans="1:10">
      <c r="A67" s="268"/>
      <c r="B67" s="269"/>
      <c r="D67" s="270"/>
      <c r="F67" s="271" t="s">
        <v>23</v>
      </c>
      <c r="G67" s="272"/>
      <c r="I67" s="273"/>
      <c r="J67" s="273"/>
    </row>
    <row r="68" spans="1:10" ht="20.25" customHeight="1">
      <c r="A68" s="268"/>
      <c r="B68" s="269"/>
      <c r="D68" s="274"/>
      <c r="F68" s="275" t="s">
        <v>100</v>
      </c>
      <c r="G68" s="276"/>
      <c r="I68" s="277"/>
      <c r="J68" s="277"/>
    </row>
    <row r="69" spans="1:10" ht="15" customHeight="1">
      <c r="A69" s="268"/>
      <c r="B69" s="269"/>
      <c r="D69" s="274"/>
      <c r="F69" s="278"/>
      <c r="G69" s="279"/>
      <c r="I69" s="277"/>
      <c r="J69" s="277"/>
    </row>
    <row r="70" spans="1:10">
      <c r="A70" s="368" t="s">
        <v>24</v>
      </c>
      <c r="B70" s="368"/>
      <c r="D70" s="270"/>
      <c r="F70" s="280" t="s">
        <v>25</v>
      </c>
      <c r="G70" s="281"/>
      <c r="I70" s="273"/>
      <c r="J70" s="273"/>
    </row>
    <row r="71" spans="1:10">
      <c r="A71" s="232"/>
      <c r="B71" s="232"/>
      <c r="D71" s="282"/>
      <c r="F71" s="283"/>
      <c r="G71" s="284"/>
      <c r="I71" s="282"/>
      <c r="J71" s="282"/>
    </row>
    <row r="72" spans="1:10">
      <c r="A72" s="232"/>
      <c r="B72" s="232"/>
      <c r="D72" s="282"/>
      <c r="F72" s="278"/>
      <c r="G72" s="279"/>
      <c r="I72" s="282"/>
      <c r="J72" s="282"/>
    </row>
    <row r="73" spans="1:10" ht="15.5" thickBot="1">
      <c r="A73" s="369"/>
      <c r="B73" s="369"/>
      <c r="C73" s="285"/>
      <c r="D73" s="285"/>
      <c r="F73" s="286"/>
      <c r="G73" s="287"/>
    </row>
    <row r="74" spans="1:10">
      <c r="A74" s="268"/>
      <c r="B74" s="269"/>
      <c r="C74" s="285"/>
      <c r="D74" s="285"/>
      <c r="E74" s="363"/>
      <c r="F74" s="282"/>
      <c r="G74" s="282"/>
    </row>
    <row r="75" spans="1:10">
      <c r="C75" s="285"/>
      <c r="D75" s="285"/>
      <c r="E75" s="364"/>
      <c r="F75" s="285"/>
      <c r="G75" s="238"/>
    </row>
    <row r="76" spans="1:10">
      <c r="C76" s="285"/>
      <c r="D76" s="285"/>
      <c r="E76" s="364"/>
      <c r="F76" s="285"/>
      <c r="G76" s="238"/>
    </row>
    <row r="77" spans="1:10">
      <c r="C77" s="285"/>
      <c r="D77" s="285"/>
      <c r="E77" s="364"/>
      <c r="F77" s="285"/>
      <c r="G77" s="238"/>
    </row>
    <row r="78" spans="1:10">
      <c r="C78" s="285"/>
      <c r="D78" s="285"/>
      <c r="E78" s="364"/>
      <c r="F78" s="285"/>
      <c r="G78" s="238"/>
    </row>
    <row r="85" spans="1:7">
      <c r="A85" s="223"/>
      <c r="B85" s="224"/>
      <c r="G85" s="288"/>
    </row>
    <row r="87" spans="1:7">
      <c r="A87" s="223"/>
      <c r="B87" s="224"/>
      <c r="G87" s="288"/>
    </row>
    <row r="89" spans="1:7">
      <c r="A89" s="223"/>
      <c r="B89" s="224"/>
      <c r="G89" s="288"/>
    </row>
  </sheetData>
  <mergeCells count="6">
    <mergeCell ref="A73:B73"/>
    <mergeCell ref="A4:G4"/>
    <mergeCell ref="B12:E12"/>
    <mergeCell ref="F64:G64"/>
    <mergeCell ref="C66:G66"/>
    <mergeCell ref="A70:B70"/>
  </mergeCells>
  <phoneticPr fontId="33" type="noConversion"/>
  <pageMargins left="0.25" right="0.25" top="0.75" bottom="0.75" header="0.3" footer="0.3"/>
  <pageSetup paperSize="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3D19-B917-4E7F-903C-F0F6A8114793}">
  <sheetPr>
    <tabColor rgb="FF92D050"/>
    <pageSetUpPr fitToPage="1"/>
  </sheetPr>
  <dimension ref="A1:J55"/>
  <sheetViews>
    <sheetView zoomScaleNormal="100" workbookViewId="0">
      <selection activeCell="P10" sqref="P10"/>
    </sheetView>
  </sheetViews>
  <sheetFormatPr defaultRowHeight="14"/>
  <cols>
    <col min="1" max="1" width="11.81640625" style="22" customWidth="1"/>
    <col min="2" max="2" width="57.26953125" style="23" customWidth="1"/>
    <col min="3" max="4" width="10.81640625" customWidth="1"/>
    <col min="5" max="5" width="12.1796875" customWidth="1"/>
    <col min="6" max="6" width="13.54296875" customWidth="1"/>
    <col min="7" max="7" width="13.54296875" style="3" customWidth="1"/>
    <col min="10" max="10" width="10.54296875" bestFit="1" customWidth="1"/>
    <col min="11" max="11" width="25.7265625" customWidth="1"/>
  </cols>
  <sheetData>
    <row r="1" spans="1:10" ht="17.5">
      <c r="A1" s="1"/>
      <c r="B1" s="2"/>
    </row>
    <row r="2" spans="1:10" ht="17.5">
      <c r="A2" s="1"/>
      <c r="B2" s="2"/>
    </row>
    <row r="4" spans="1:10" ht="15">
      <c r="A4" s="370" t="s">
        <v>0</v>
      </c>
      <c r="B4" s="370"/>
      <c r="C4" s="370"/>
      <c r="D4" s="370"/>
      <c r="E4" s="370"/>
      <c r="F4" s="370"/>
      <c r="G4" s="370"/>
    </row>
    <row r="5" spans="1:10" ht="15">
      <c r="A5" s="4"/>
      <c r="B5" s="24"/>
      <c r="C5" s="162"/>
      <c r="D5" s="162"/>
      <c r="E5" s="162"/>
      <c r="F5" s="162"/>
      <c r="G5" s="5"/>
    </row>
    <row r="6" spans="1:10">
      <c r="A6" s="91" t="s">
        <v>1</v>
      </c>
      <c r="B6" s="92" t="str">
        <f>Register!B4</f>
        <v>ARCO</v>
      </c>
      <c r="C6" s="93"/>
      <c r="D6" s="94"/>
      <c r="E6" s="94"/>
      <c r="F6" s="94" t="s">
        <v>2</v>
      </c>
      <c r="G6" s="25">
        <f ca="1">TODAY()</f>
        <v>46187</v>
      </c>
    </row>
    <row r="7" spans="1:10">
      <c r="A7" s="91" t="s">
        <v>3</v>
      </c>
      <c r="B7" s="92" t="s">
        <v>4</v>
      </c>
      <c r="C7" s="93"/>
      <c r="D7" s="95"/>
      <c r="E7" s="95"/>
      <c r="F7" s="95" t="s">
        <v>5</v>
      </c>
      <c r="G7" s="96"/>
    </row>
    <row r="8" spans="1:10">
      <c r="A8" s="91" t="s">
        <v>6</v>
      </c>
      <c r="B8" s="92" t="str">
        <f>Register!B5</f>
        <v>22 - 24 Hood St, Subiaco</v>
      </c>
      <c r="C8" s="93"/>
      <c r="D8" s="93"/>
      <c r="E8" s="93"/>
      <c r="F8" s="93"/>
      <c r="G8" s="96"/>
    </row>
    <row r="9" spans="1:10">
      <c r="A9" s="91" t="s">
        <v>7</v>
      </c>
      <c r="B9" s="92">
        <f>Register!B3</f>
        <v>1504</v>
      </c>
      <c r="C9" s="97"/>
      <c r="D9" s="97"/>
      <c r="E9" s="97"/>
      <c r="F9" s="97"/>
      <c r="G9" s="96"/>
    </row>
    <row r="10" spans="1:10">
      <c r="A10" s="98"/>
      <c r="B10" s="99"/>
      <c r="C10" s="97"/>
      <c r="D10" s="97"/>
      <c r="E10" s="97"/>
      <c r="F10" s="97"/>
      <c r="G10" s="96"/>
    </row>
    <row r="11" spans="1:10" ht="26.5" thickBot="1">
      <c r="A11" s="100"/>
      <c r="B11" s="101" t="s">
        <v>167</v>
      </c>
      <c r="C11" s="102"/>
      <c r="D11" s="102"/>
      <c r="E11" s="102"/>
      <c r="F11" s="102"/>
      <c r="G11" s="103"/>
    </row>
    <row r="12" spans="1:10" ht="14.5" thickBot="1">
      <c r="A12" s="104" t="s">
        <v>8</v>
      </c>
      <c r="B12" s="379" t="s">
        <v>9</v>
      </c>
      <c r="C12" s="380"/>
      <c r="D12" s="380"/>
      <c r="E12" s="381"/>
      <c r="F12" s="105" t="s">
        <v>10</v>
      </c>
      <c r="G12" s="106" t="s">
        <v>11</v>
      </c>
    </row>
    <row r="13" spans="1:10">
      <c r="A13" s="107"/>
      <c r="B13" s="108"/>
      <c r="C13" s="112" t="s">
        <v>12</v>
      </c>
      <c r="D13" s="112" t="s">
        <v>13</v>
      </c>
      <c r="E13" s="185" t="s">
        <v>14</v>
      </c>
      <c r="F13" s="164"/>
      <c r="G13" s="165"/>
      <c r="H13" s="184"/>
      <c r="I13" s="184"/>
    </row>
    <row r="14" spans="1:10">
      <c r="A14" s="109">
        <v>1</v>
      </c>
      <c r="B14" s="82"/>
      <c r="C14" s="152"/>
      <c r="D14" s="150"/>
      <c r="E14" s="150"/>
      <c r="F14" s="166">
        <f>C14*E14</f>
        <v>0</v>
      </c>
      <c r="G14" s="172"/>
      <c r="I14" s="186"/>
      <c r="J14" s="331"/>
    </row>
    <row r="15" spans="1:10">
      <c r="A15" s="109">
        <v>2</v>
      </c>
      <c r="B15" s="82"/>
      <c r="C15" s="152"/>
      <c r="D15" s="150"/>
      <c r="E15" s="150"/>
      <c r="F15" s="166"/>
      <c r="G15" s="172"/>
      <c r="I15" s="186"/>
      <c r="J15" s="331"/>
    </row>
    <row r="16" spans="1:10">
      <c r="A16" s="109">
        <v>3</v>
      </c>
      <c r="B16" s="82"/>
      <c r="C16" s="152"/>
      <c r="D16" s="150"/>
      <c r="E16" s="84"/>
      <c r="F16" s="166"/>
      <c r="G16" s="172"/>
      <c r="I16" s="186"/>
      <c r="J16" s="186"/>
    </row>
    <row r="17" spans="1:10">
      <c r="A17" s="109">
        <v>4</v>
      </c>
      <c r="B17" s="82"/>
      <c r="C17" s="152"/>
      <c r="D17" s="150"/>
      <c r="E17" s="84"/>
      <c r="F17" s="166"/>
      <c r="G17" s="172"/>
    </row>
    <row r="18" spans="1:10" ht="14.5" thickBot="1">
      <c r="A18" s="111"/>
      <c r="B18" s="87"/>
      <c r="C18" s="88"/>
      <c r="D18" s="89"/>
      <c r="E18" s="90"/>
      <c r="F18" s="170"/>
      <c r="G18" s="171"/>
    </row>
    <row r="19" spans="1:10" ht="14.5" thickBot="1">
      <c r="A19" s="163" t="s">
        <v>17</v>
      </c>
      <c r="B19" s="8"/>
      <c r="C19" s="8"/>
      <c r="D19" s="8"/>
      <c r="F19" s="151">
        <f>SUM(F13:F18)</f>
        <v>0</v>
      </c>
      <c r="G19" s="180">
        <f>SUM(G13:G18)</f>
        <v>0</v>
      </c>
    </row>
    <row r="20" spans="1:10">
      <c r="A20" s="163" t="s">
        <v>18</v>
      </c>
      <c r="F20" s="209">
        <f>F19+G19</f>
        <v>0</v>
      </c>
      <c r="G20" s="210"/>
    </row>
    <row r="21" spans="1:10" ht="15" customHeight="1">
      <c r="A21" s="163" t="s">
        <v>19</v>
      </c>
      <c r="B21" s="163"/>
      <c r="F21" s="211">
        <f>F20*0.1</f>
        <v>0</v>
      </c>
      <c r="G21" s="218"/>
    </row>
    <row r="22" spans="1:10">
      <c r="A22" s="163" t="s">
        <v>20</v>
      </c>
      <c r="B22" s="163"/>
      <c r="F22" s="221">
        <f>F20+F21</f>
        <v>0</v>
      </c>
      <c r="G22" s="219"/>
    </row>
    <row r="23" spans="1:10" ht="14.5" thickBot="1">
      <c r="A23" s="163" t="s">
        <v>21</v>
      </c>
      <c r="B23" s="163"/>
      <c r="F23" s="212">
        <f>F22*0.1</f>
        <v>0</v>
      </c>
      <c r="G23" s="213"/>
    </row>
    <row r="24" spans="1:10" ht="14.5" thickBot="1">
      <c r="A24" s="163" t="s">
        <v>22</v>
      </c>
      <c r="B24" s="163"/>
      <c r="F24" s="374">
        <f>F22+F23</f>
        <v>0</v>
      </c>
      <c r="G24" s="375"/>
    </row>
    <row r="25" spans="1:10">
      <c r="A25" s="163"/>
      <c r="C25" s="23"/>
      <c r="D25" s="23"/>
      <c r="E25" s="23"/>
      <c r="F25" s="23"/>
      <c r="G25" s="23"/>
    </row>
    <row r="26" spans="1:10" ht="14.5" thickBot="1">
      <c r="A26" s="163"/>
      <c r="C26" s="376"/>
      <c r="D26" s="376"/>
      <c r="E26" s="376"/>
      <c r="F26" s="376"/>
      <c r="G26" s="376"/>
    </row>
    <row r="27" spans="1:10">
      <c r="A27" s="34"/>
      <c r="B27" s="9"/>
      <c r="D27" s="29"/>
      <c r="F27" s="35" t="s">
        <v>23</v>
      </c>
      <c r="G27" s="36"/>
      <c r="I27" s="10"/>
      <c r="J27" s="10"/>
    </row>
    <row r="28" spans="1:10" ht="20.25" customHeight="1">
      <c r="A28" s="34"/>
      <c r="B28" s="9"/>
      <c r="D28" s="27"/>
      <c r="F28" s="136" t="s">
        <v>100</v>
      </c>
      <c r="G28" s="28"/>
      <c r="I28" s="11"/>
      <c r="J28" s="11"/>
    </row>
    <row r="29" spans="1:10" ht="15" customHeight="1">
      <c r="A29" s="34"/>
      <c r="B29" s="9"/>
      <c r="D29" s="27"/>
      <c r="F29" s="38"/>
      <c r="G29" s="12"/>
      <c r="I29" s="11"/>
      <c r="J29" s="11"/>
    </row>
    <row r="30" spans="1:10">
      <c r="A30" s="377" t="s">
        <v>24</v>
      </c>
      <c r="B30" s="377"/>
      <c r="D30" s="29"/>
      <c r="F30" s="30" t="s">
        <v>25</v>
      </c>
      <c r="G30" s="31"/>
      <c r="I30" s="10"/>
      <c r="J30" s="10"/>
    </row>
    <row r="31" spans="1:10">
      <c r="A31" s="26"/>
      <c r="B31" s="26"/>
      <c r="D31" s="13"/>
      <c r="F31" s="32"/>
      <c r="G31" s="37"/>
      <c r="I31" s="13"/>
      <c r="J31" s="13"/>
    </row>
    <row r="32" spans="1:10">
      <c r="A32" s="26"/>
      <c r="B32" s="26"/>
      <c r="D32" s="13"/>
      <c r="F32" s="38"/>
      <c r="G32" s="12"/>
      <c r="I32" s="13"/>
      <c r="J32" s="13"/>
    </row>
    <row r="33" spans="1:7" ht="14.5" thickBot="1">
      <c r="A33" s="378"/>
      <c r="B33" s="378"/>
      <c r="C33" s="15"/>
      <c r="D33" s="15"/>
      <c r="F33" s="14"/>
      <c r="G33" s="33"/>
    </row>
    <row r="34" spans="1:7">
      <c r="A34" s="34"/>
      <c r="B34" s="9"/>
      <c r="C34" s="15"/>
      <c r="D34" s="15"/>
      <c r="E34" s="13"/>
      <c r="F34" s="13"/>
      <c r="G34" s="13"/>
    </row>
    <row r="35" spans="1:7">
      <c r="C35" s="15"/>
      <c r="D35" s="15"/>
      <c r="E35" s="15"/>
      <c r="F35" s="15"/>
      <c r="G35" s="16"/>
    </row>
    <row r="36" spans="1:7">
      <c r="C36" s="15"/>
      <c r="D36" s="15"/>
      <c r="E36" s="15"/>
      <c r="F36" s="15"/>
      <c r="G36" s="16"/>
    </row>
    <row r="37" spans="1:7">
      <c r="C37" s="15"/>
      <c r="D37" s="15"/>
      <c r="E37" s="15"/>
      <c r="F37" s="15"/>
      <c r="G37" s="16"/>
    </row>
    <row r="38" spans="1:7">
      <c r="C38" s="15"/>
      <c r="D38" s="15"/>
      <c r="E38" s="15"/>
      <c r="F38" s="15"/>
      <c r="G38" s="16"/>
    </row>
    <row r="39" spans="1:7">
      <c r="A39" s="17"/>
      <c r="B39" s="18"/>
      <c r="C39" s="6"/>
      <c r="D39" s="6"/>
      <c r="E39" s="6"/>
      <c r="F39" s="6"/>
      <c r="G39" s="7"/>
    </row>
    <row r="40" spans="1:7">
      <c r="A40" s="17"/>
      <c r="B40" s="18"/>
      <c r="C40" s="6"/>
      <c r="D40" s="6"/>
      <c r="E40" s="6"/>
      <c r="F40" s="6"/>
      <c r="G40" s="7"/>
    </row>
    <row r="41" spans="1:7">
      <c r="A41" s="17"/>
      <c r="B41" s="18"/>
      <c r="C41" s="6"/>
      <c r="D41" s="6"/>
      <c r="E41" s="6"/>
      <c r="F41" s="6"/>
      <c r="G41" s="7"/>
    </row>
    <row r="42" spans="1:7">
      <c r="A42" s="17"/>
      <c r="B42" s="18"/>
      <c r="C42" s="6"/>
      <c r="D42" s="6"/>
      <c r="E42" s="6"/>
      <c r="F42" s="6"/>
      <c r="G42" s="7"/>
    </row>
    <row r="43" spans="1:7">
      <c r="A43" s="17"/>
      <c r="B43" s="18"/>
      <c r="C43" s="6"/>
      <c r="D43" s="6"/>
      <c r="E43" s="6"/>
      <c r="F43" s="6"/>
      <c r="G43" s="7"/>
    </row>
    <row r="44" spans="1:7">
      <c r="A44" s="17"/>
      <c r="B44" s="18"/>
      <c r="C44" s="6"/>
      <c r="D44" s="6"/>
      <c r="E44" s="6"/>
      <c r="F44" s="6"/>
      <c r="G44" s="7"/>
    </row>
    <row r="45" spans="1:7">
      <c r="A45" s="19"/>
      <c r="B45" s="20"/>
      <c r="C45" s="6"/>
      <c r="D45" s="6"/>
      <c r="E45" s="6"/>
      <c r="F45" s="6"/>
      <c r="G45" s="21"/>
    </row>
    <row r="46" spans="1:7">
      <c r="A46" s="17"/>
      <c r="B46" s="18"/>
      <c r="C46" s="6"/>
      <c r="D46" s="6"/>
      <c r="E46" s="6"/>
      <c r="F46" s="6"/>
      <c r="G46" s="7"/>
    </row>
    <row r="47" spans="1:7">
      <c r="A47" s="19"/>
      <c r="B47" s="20"/>
      <c r="C47" s="6"/>
      <c r="D47" s="6"/>
      <c r="E47" s="6"/>
      <c r="F47" s="6"/>
      <c r="G47" s="21"/>
    </row>
    <row r="48" spans="1:7">
      <c r="A48" s="17"/>
      <c r="B48" s="18"/>
      <c r="C48" s="6"/>
      <c r="D48" s="6"/>
      <c r="E48" s="6"/>
      <c r="F48" s="6"/>
      <c r="G48" s="7"/>
    </row>
    <row r="49" spans="1:7">
      <c r="A49" s="19"/>
      <c r="B49" s="20"/>
      <c r="C49" s="6"/>
      <c r="D49" s="6"/>
      <c r="E49" s="6"/>
      <c r="F49" s="6"/>
      <c r="G49" s="21"/>
    </row>
    <row r="50" spans="1:7">
      <c r="A50" s="17"/>
      <c r="B50" s="18"/>
      <c r="C50" s="6"/>
      <c r="D50" s="6"/>
      <c r="E50" s="6"/>
      <c r="F50" s="6"/>
      <c r="G50" s="7"/>
    </row>
    <row r="51" spans="1:7">
      <c r="A51" s="17"/>
      <c r="B51" s="18"/>
      <c r="C51" s="6"/>
      <c r="D51" s="6"/>
      <c r="E51" s="6"/>
      <c r="F51" s="6"/>
      <c r="G51" s="7"/>
    </row>
    <row r="52" spans="1:7">
      <c r="A52" s="17"/>
      <c r="B52" s="18"/>
      <c r="C52" s="6"/>
      <c r="D52" s="6"/>
      <c r="E52" s="6"/>
      <c r="F52" s="6"/>
      <c r="G52" s="7"/>
    </row>
    <row r="53" spans="1:7">
      <c r="A53" s="17"/>
      <c r="B53" s="18"/>
      <c r="C53" s="6"/>
      <c r="D53" s="6"/>
      <c r="E53" s="6"/>
      <c r="F53" s="6"/>
      <c r="G53" s="7"/>
    </row>
    <row r="54" spans="1:7">
      <c r="A54" s="17"/>
      <c r="B54" s="18"/>
      <c r="C54" s="6"/>
      <c r="D54" s="6"/>
      <c r="E54" s="6"/>
      <c r="F54" s="6"/>
      <c r="G54" s="7"/>
    </row>
    <row r="55" spans="1:7">
      <c r="A55" s="17"/>
      <c r="B55" s="18"/>
      <c r="C55" s="6"/>
      <c r="D55" s="6"/>
      <c r="E55" s="6"/>
      <c r="F55" s="6"/>
      <c r="G55" s="7"/>
    </row>
  </sheetData>
  <mergeCells count="6">
    <mergeCell ref="A33:B33"/>
    <mergeCell ref="A4:G4"/>
    <mergeCell ref="B12:E12"/>
    <mergeCell ref="F24:G24"/>
    <mergeCell ref="C26:G26"/>
    <mergeCell ref="A30:B30"/>
  </mergeCells>
  <phoneticPr fontId="81" type="noConversion"/>
  <pageMargins left="0.7" right="0.7" top="0.75" bottom="0.75" header="0.3" footer="0.3"/>
  <pageSetup paperSize="9" scale="6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4831-5FB8-472B-8098-4FFFA193329D}">
  <sheetPr>
    <tabColor rgb="FF92D050"/>
    <pageSetUpPr fitToPage="1"/>
  </sheetPr>
  <dimension ref="A1:J55"/>
  <sheetViews>
    <sheetView zoomScaleNormal="100" workbookViewId="0">
      <selection activeCell="B12" sqref="B12:E12"/>
    </sheetView>
  </sheetViews>
  <sheetFormatPr defaultRowHeight="14"/>
  <cols>
    <col min="1" max="1" width="11.81640625" style="22" customWidth="1"/>
    <col min="2" max="2" width="57.26953125" style="23" customWidth="1"/>
    <col min="3" max="4" width="10.81640625" customWidth="1"/>
    <col min="5" max="5" width="12.1796875" customWidth="1"/>
    <col min="6" max="6" width="13.54296875" customWidth="1"/>
    <col min="7" max="7" width="13.54296875" style="3" customWidth="1"/>
    <col min="10" max="10" width="10.54296875" bestFit="1" customWidth="1"/>
    <col min="11" max="11" width="25.7265625" customWidth="1"/>
  </cols>
  <sheetData>
    <row r="1" spans="1:10" ht="17.5">
      <c r="A1" s="1"/>
      <c r="B1" s="2"/>
    </row>
    <row r="2" spans="1:10" ht="17.5">
      <c r="A2" s="1"/>
      <c r="B2" s="2"/>
    </row>
    <row r="4" spans="1:10" ht="15">
      <c r="A4" s="370" t="s">
        <v>0</v>
      </c>
      <c r="B4" s="370"/>
      <c r="C4" s="370"/>
      <c r="D4" s="370"/>
      <c r="E4" s="370"/>
      <c r="F4" s="370"/>
      <c r="G4" s="370"/>
    </row>
    <row r="5" spans="1:10" ht="15">
      <c r="A5" s="4"/>
      <c r="B5" s="24"/>
      <c r="C5" s="162"/>
      <c r="D5" s="162"/>
      <c r="E5" s="162"/>
      <c r="F5" s="162"/>
      <c r="G5" s="5"/>
    </row>
    <row r="6" spans="1:10">
      <c r="A6" s="91" t="s">
        <v>1</v>
      </c>
      <c r="B6" s="92" t="str">
        <f>Register!B4</f>
        <v>ARCO</v>
      </c>
      <c r="C6" s="93"/>
      <c r="D6" s="94"/>
      <c r="E6" s="94"/>
      <c r="F6" s="94" t="s">
        <v>2</v>
      </c>
      <c r="G6" s="25">
        <f ca="1">TODAY()</f>
        <v>46187</v>
      </c>
    </row>
    <row r="7" spans="1:10">
      <c r="A7" s="91" t="s">
        <v>3</v>
      </c>
      <c r="B7" s="92" t="s">
        <v>4</v>
      </c>
      <c r="C7" s="93"/>
      <c r="D7" s="95"/>
      <c r="E7" s="95"/>
      <c r="F7" s="95" t="s">
        <v>5</v>
      </c>
      <c r="G7" s="96"/>
    </row>
    <row r="8" spans="1:10">
      <c r="A8" s="91" t="s">
        <v>6</v>
      </c>
      <c r="B8" s="92" t="str">
        <f>Register!B5</f>
        <v>22 - 24 Hood St, Subiaco</v>
      </c>
      <c r="C8" s="93"/>
      <c r="D8" s="93"/>
      <c r="E8" s="93"/>
      <c r="F8" s="93"/>
      <c r="G8" s="96"/>
    </row>
    <row r="9" spans="1:10">
      <c r="A9" s="91" t="s">
        <v>7</v>
      </c>
      <c r="B9" s="92">
        <f>Register!B3</f>
        <v>1504</v>
      </c>
      <c r="C9" s="97"/>
      <c r="D9" s="97"/>
      <c r="E9" s="97"/>
      <c r="F9" s="97"/>
      <c r="G9" s="96"/>
    </row>
    <row r="10" spans="1:10">
      <c r="A10" s="98"/>
      <c r="B10" s="99"/>
      <c r="C10" s="97"/>
      <c r="D10" s="97"/>
      <c r="E10" s="97"/>
      <c r="F10" s="97"/>
      <c r="G10" s="96"/>
    </row>
    <row r="11" spans="1:10" ht="14.5" thickBot="1">
      <c r="A11" s="100"/>
      <c r="B11" s="101" t="s">
        <v>168</v>
      </c>
      <c r="C11" s="102"/>
      <c r="D11" s="102"/>
      <c r="E11" s="102"/>
      <c r="F11" s="102"/>
      <c r="G11" s="103"/>
    </row>
    <row r="12" spans="1:10" ht="14.5" thickBot="1">
      <c r="A12" s="104" t="s">
        <v>8</v>
      </c>
      <c r="B12" s="379" t="s">
        <v>9</v>
      </c>
      <c r="C12" s="380"/>
      <c r="D12" s="380"/>
      <c r="E12" s="381"/>
      <c r="F12" s="105" t="s">
        <v>10</v>
      </c>
      <c r="G12" s="106" t="s">
        <v>11</v>
      </c>
    </row>
    <row r="13" spans="1:10">
      <c r="A13" s="107"/>
      <c r="B13" s="108"/>
      <c r="C13" s="112" t="s">
        <v>12</v>
      </c>
      <c r="D13" s="112" t="s">
        <v>13</v>
      </c>
      <c r="E13" s="185" t="s">
        <v>14</v>
      </c>
      <c r="F13" s="164"/>
      <c r="G13" s="165"/>
      <c r="H13" s="184"/>
      <c r="I13" s="184"/>
    </row>
    <row r="14" spans="1:10">
      <c r="A14" s="109">
        <v>1</v>
      </c>
      <c r="B14" s="82"/>
      <c r="C14" s="152"/>
      <c r="D14" s="150"/>
      <c r="E14" s="150"/>
      <c r="F14" s="166">
        <f>C14*E14</f>
        <v>0</v>
      </c>
      <c r="G14" s="172"/>
      <c r="I14" s="186"/>
      <c r="J14" s="331"/>
    </row>
    <row r="15" spans="1:10">
      <c r="A15" s="109">
        <v>2</v>
      </c>
      <c r="B15" s="82"/>
      <c r="C15" s="152"/>
      <c r="D15" s="150"/>
      <c r="E15" s="150"/>
      <c r="F15" s="166"/>
      <c r="G15" s="172"/>
      <c r="I15" s="186"/>
      <c r="J15" s="331"/>
    </row>
    <row r="16" spans="1:10">
      <c r="A16" s="109">
        <v>3</v>
      </c>
      <c r="B16" s="82"/>
      <c r="C16" s="152"/>
      <c r="D16" s="150"/>
      <c r="E16" s="84"/>
      <c r="F16" s="166"/>
      <c r="G16" s="172"/>
      <c r="I16" s="186"/>
      <c r="J16" s="186"/>
    </row>
    <row r="17" spans="1:10">
      <c r="A17" s="109">
        <v>4</v>
      </c>
      <c r="B17" s="82"/>
      <c r="C17" s="152"/>
      <c r="D17" s="150"/>
      <c r="E17" s="84"/>
      <c r="F17" s="166"/>
      <c r="G17" s="172"/>
    </row>
    <row r="18" spans="1:10" ht="14.5" thickBot="1">
      <c r="A18" s="111"/>
      <c r="B18" s="87"/>
      <c r="C18" s="88"/>
      <c r="D18" s="89"/>
      <c r="E18" s="90"/>
      <c r="F18" s="170"/>
      <c r="G18" s="171"/>
    </row>
    <row r="19" spans="1:10" ht="14.5" thickBot="1">
      <c r="A19" s="163" t="s">
        <v>17</v>
      </c>
      <c r="B19" s="8"/>
      <c r="C19" s="8"/>
      <c r="D19" s="8"/>
      <c r="F19" s="151">
        <f>SUM(F13:F18)</f>
        <v>0</v>
      </c>
      <c r="G19" s="180">
        <f>SUM(G13:G18)</f>
        <v>0</v>
      </c>
    </row>
    <row r="20" spans="1:10">
      <c r="A20" s="163" t="s">
        <v>18</v>
      </c>
      <c r="F20" s="209">
        <f>F19+G19</f>
        <v>0</v>
      </c>
      <c r="G20" s="210"/>
    </row>
    <row r="21" spans="1:10" ht="15" customHeight="1">
      <c r="A21" s="163" t="s">
        <v>19</v>
      </c>
      <c r="B21" s="163"/>
      <c r="F21" s="211">
        <f>F20*0.1</f>
        <v>0</v>
      </c>
      <c r="G21" s="218"/>
    </row>
    <row r="22" spans="1:10">
      <c r="A22" s="163" t="s">
        <v>20</v>
      </c>
      <c r="B22" s="163"/>
      <c r="F22" s="221">
        <f>F20+F21</f>
        <v>0</v>
      </c>
      <c r="G22" s="219"/>
    </row>
    <row r="23" spans="1:10" ht="14.5" thickBot="1">
      <c r="A23" s="163" t="s">
        <v>21</v>
      </c>
      <c r="B23" s="163"/>
      <c r="F23" s="212">
        <f>F22*0.1</f>
        <v>0</v>
      </c>
      <c r="G23" s="213"/>
    </row>
    <row r="24" spans="1:10" ht="14.5" thickBot="1">
      <c r="A24" s="163" t="s">
        <v>22</v>
      </c>
      <c r="B24" s="163"/>
      <c r="F24" s="374">
        <f>F22+F23</f>
        <v>0</v>
      </c>
      <c r="G24" s="375"/>
    </row>
    <row r="25" spans="1:10">
      <c r="A25" s="163"/>
      <c r="C25" s="23"/>
      <c r="D25" s="23"/>
      <c r="E25" s="23"/>
      <c r="F25" s="23"/>
      <c r="G25" s="23"/>
    </row>
    <row r="26" spans="1:10" ht="14.5" thickBot="1">
      <c r="A26" s="163"/>
      <c r="C26" s="376"/>
      <c r="D26" s="376"/>
      <c r="E26" s="376"/>
      <c r="F26" s="376"/>
      <c r="G26" s="376"/>
    </row>
    <row r="27" spans="1:10">
      <c r="A27" s="34"/>
      <c r="B27" s="9"/>
      <c r="D27" s="29"/>
      <c r="F27" s="35" t="s">
        <v>23</v>
      </c>
      <c r="G27" s="36"/>
      <c r="I27" s="10"/>
      <c r="J27" s="10"/>
    </row>
    <row r="28" spans="1:10" ht="20.25" customHeight="1">
      <c r="A28" s="34"/>
      <c r="B28" s="9"/>
      <c r="D28" s="27"/>
      <c r="F28" s="136" t="s">
        <v>100</v>
      </c>
      <c r="G28" s="28"/>
      <c r="I28" s="11"/>
      <c r="J28" s="11"/>
    </row>
    <row r="29" spans="1:10" ht="15" customHeight="1">
      <c r="A29" s="34"/>
      <c r="B29" s="9"/>
      <c r="D29" s="27"/>
      <c r="F29" s="38"/>
      <c r="G29" s="12"/>
      <c r="I29" s="11"/>
      <c r="J29" s="11"/>
    </row>
    <row r="30" spans="1:10">
      <c r="A30" s="377" t="s">
        <v>24</v>
      </c>
      <c r="B30" s="377"/>
      <c r="D30" s="29"/>
      <c r="F30" s="30" t="s">
        <v>25</v>
      </c>
      <c r="G30" s="31"/>
      <c r="I30" s="10"/>
      <c r="J30" s="10"/>
    </row>
    <row r="31" spans="1:10">
      <c r="A31" s="26"/>
      <c r="B31" s="26"/>
      <c r="D31" s="13"/>
      <c r="F31" s="32"/>
      <c r="G31" s="37"/>
      <c r="I31" s="13"/>
      <c r="J31" s="13"/>
    </row>
    <row r="32" spans="1:10">
      <c r="A32" s="26"/>
      <c r="B32" s="26"/>
      <c r="D32" s="13"/>
      <c r="F32" s="38"/>
      <c r="G32" s="12"/>
      <c r="I32" s="13"/>
      <c r="J32" s="13"/>
    </row>
    <row r="33" spans="1:7" ht="14.5" thickBot="1">
      <c r="A33" s="378"/>
      <c r="B33" s="378"/>
      <c r="C33" s="15"/>
      <c r="D33" s="15"/>
      <c r="F33" s="14"/>
      <c r="G33" s="33"/>
    </row>
    <row r="34" spans="1:7">
      <c r="A34" s="34"/>
      <c r="B34" s="9"/>
      <c r="C34" s="15"/>
      <c r="D34" s="15"/>
      <c r="E34" s="13"/>
      <c r="F34" s="13"/>
      <c r="G34" s="13"/>
    </row>
    <row r="35" spans="1:7">
      <c r="C35" s="15"/>
      <c r="D35" s="15"/>
      <c r="E35" s="15"/>
      <c r="F35" s="15"/>
      <c r="G35" s="16"/>
    </row>
    <row r="36" spans="1:7">
      <c r="C36" s="15"/>
      <c r="D36" s="15"/>
      <c r="E36" s="15"/>
      <c r="F36" s="15"/>
      <c r="G36" s="16"/>
    </row>
    <row r="37" spans="1:7">
      <c r="C37" s="15"/>
      <c r="D37" s="15"/>
      <c r="E37" s="15"/>
      <c r="F37" s="15"/>
      <c r="G37" s="16"/>
    </row>
    <row r="38" spans="1:7">
      <c r="C38" s="15"/>
      <c r="D38" s="15"/>
      <c r="E38" s="15"/>
      <c r="F38" s="15"/>
      <c r="G38" s="16"/>
    </row>
    <row r="39" spans="1:7">
      <c r="A39" s="17"/>
      <c r="B39" s="18"/>
      <c r="C39" s="6"/>
      <c r="D39" s="6"/>
      <c r="E39" s="6"/>
      <c r="F39" s="6"/>
      <c r="G39" s="7"/>
    </row>
    <row r="40" spans="1:7">
      <c r="A40" s="17"/>
      <c r="B40" s="18"/>
      <c r="C40" s="6"/>
      <c r="D40" s="6"/>
      <c r="E40" s="6"/>
      <c r="F40" s="6"/>
      <c r="G40" s="7"/>
    </row>
    <row r="41" spans="1:7">
      <c r="A41" s="17"/>
      <c r="B41" s="18"/>
      <c r="C41" s="6"/>
      <c r="D41" s="6"/>
      <c r="E41" s="6"/>
      <c r="F41" s="6"/>
      <c r="G41" s="7"/>
    </row>
    <row r="42" spans="1:7">
      <c r="A42" s="17"/>
      <c r="B42" s="18"/>
      <c r="C42" s="6"/>
      <c r="D42" s="6"/>
      <c r="E42" s="6"/>
      <c r="F42" s="6"/>
      <c r="G42" s="7"/>
    </row>
    <row r="43" spans="1:7">
      <c r="A43" s="17"/>
      <c r="B43" s="18"/>
      <c r="C43" s="6"/>
      <c r="D43" s="6"/>
      <c r="E43" s="6"/>
      <c r="F43" s="6"/>
      <c r="G43" s="7"/>
    </row>
    <row r="44" spans="1:7">
      <c r="A44" s="17"/>
      <c r="B44" s="18"/>
      <c r="C44" s="6"/>
      <c r="D44" s="6"/>
      <c r="E44" s="6"/>
      <c r="F44" s="6"/>
      <c r="G44" s="7"/>
    </row>
    <row r="45" spans="1:7">
      <c r="A45" s="19"/>
      <c r="B45" s="20"/>
      <c r="C45" s="6"/>
      <c r="D45" s="6"/>
      <c r="E45" s="6"/>
      <c r="F45" s="6"/>
      <c r="G45" s="21"/>
    </row>
    <row r="46" spans="1:7">
      <c r="A46" s="17"/>
      <c r="B46" s="18"/>
      <c r="C46" s="6"/>
      <c r="D46" s="6"/>
      <c r="E46" s="6"/>
      <c r="F46" s="6"/>
      <c r="G46" s="7"/>
    </row>
    <row r="47" spans="1:7">
      <c r="A47" s="19"/>
      <c r="B47" s="20"/>
      <c r="C47" s="6"/>
      <c r="D47" s="6"/>
      <c r="E47" s="6"/>
      <c r="F47" s="6"/>
      <c r="G47" s="21"/>
    </row>
    <row r="48" spans="1:7">
      <c r="A48" s="17"/>
      <c r="B48" s="18"/>
      <c r="C48" s="6"/>
      <c r="D48" s="6"/>
      <c r="E48" s="6"/>
      <c r="F48" s="6"/>
      <c r="G48" s="7"/>
    </row>
    <row r="49" spans="1:7">
      <c r="A49" s="19"/>
      <c r="B49" s="20"/>
      <c r="C49" s="6"/>
      <c r="D49" s="6"/>
      <c r="E49" s="6"/>
      <c r="F49" s="6"/>
      <c r="G49" s="21"/>
    </row>
    <row r="50" spans="1:7">
      <c r="A50" s="17"/>
      <c r="B50" s="18"/>
      <c r="C50" s="6"/>
      <c r="D50" s="6"/>
      <c r="E50" s="6"/>
      <c r="F50" s="6"/>
      <c r="G50" s="7"/>
    </row>
    <row r="51" spans="1:7">
      <c r="A51" s="17"/>
      <c r="B51" s="18"/>
      <c r="C51" s="6"/>
      <c r="D51" s="6"/>
      <c r="E51" s="6"/>
      <c r="F51" s="6"/>
      <c r="G51" s="7"/>
    </row>
    <row r="52" spans="1:7">
      <c r="A52" s="17"/>
      <c r="B52" s="18"/>
      <c r="C52" s="6"/>
      <c r="D52" s="6"/>
      <c r="E52" s="6"/>
      <c r="F52" s="6"/>
      <c r="G52" s="7"/>
    </row>
    <row r="53" spans="1:7">
      <c r="A53" s="17"/>
      <c r="B53" s="18"/>
      <c r="C53" s="6"/>
      <c r="D53" s="6"/>
      <c r="E53" s="6"/>
      <c r="F53" s="6"/>
      <c r="G53" s="7"/>
    </row>
    <row r="54" spans="1:7">
      <c r="A54" s="17"/>
      <c r="B54" s="18"/>
      <c r="C54" s="6"/>
      <c r="D54" s="6"/>
      <c r="E54" s="6"/>
      <c r="F54" s="6"/>
      <c r="G54" s="7"/>
    </row>
    <row r="55" spans="1:7">
      <c r="A55" s="17"/>
      <c r="B55" s="18"/>
      <c r="C55" s="6"/>
      <c r="D55" s="6"/>
      <c r="E55" s="6"/>
      <c r="F55" s="6"/>
      <c r="G55" s="7"/>
    </row>
  </sheetData>
  <mergeCells count="6">
    <mergeCell ref="A33:B33"/>
    <mergeCell ref="A4:G4"/>
    <mergeCell ref="B12:E12"/>
    <mergeCell ref="F24:G24"/>
    <mergeCell ref="C26:G26"/>
    <mergeCell ref="A30:B30"/>
  </mergeCells>
  <phoneticPr fontId="81" type="noConversion"/>
  <pageMargins left="0.7" right="0.7" top="0.75" bottom="0.75" header="0.3" footer="0.3"/>
  <pageSetup paperSize="9" scale="6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64DD-8660-4D81-9FCA-E8EB68A9758F}">
  <sheetPr>
    <tabColor rgb="FF92D050"/>
    <pageSetUpPr fitToPage="1"/>
  </sheetPr>
  <dimension ref="A1:J55"/>
  <sheetViews>
    <sheetView zoomScaleNormal="100" workbookViewId="0">
      <selection activeCell="K15" sqref="K15"/>
    </sheetView>
  </sheetViews>
  <sheetFormatPr defaultRowHeight="14"/>
  <cols>
    <col min="1" max="1" width="11.81640625" style="22" customWidth="1"/>
    <col min="2" max="2" width="57.26953125" style="23" customWidth="1"/>
    <col min="3" max="4" width="10.81640625" customWidth="1"/>
    <col min="5" max="5" width="12.1796875" customWidth="1"/>
    <col min="6" max="6" width="13.54296875" customWidth="1"/>
    <col min="7" max="7" width="13.54296875" style="3" customWidth="1"/>
    <col min="10" max="10" width="10.54296875" bestFit="1" customWidth="1"/>
    <col min="11" max="11" width="25.7265625" customWidth="1"/>
  </cols>
  <sheetData>
    <row r="1" spans="1:10" ht="17.5">
      <c r="A1" s="1"/>
      <c r="B1" s="2"/>
    </row>
    <row r="2" spans="1:10" ht="17.5">
      <c r="A2" s="1"/>
      <c r="B2" s="2"/>
    </row>
    <row r="4" spans="1:10" ht="15">
      <c r="A4" s="370" t="s">
        <v>0</v>
      </c>
      <c r="B4" s="370"/>
      <c r="C4" s="370"/>
      <c r="D4" s="370"/>
      <c r="E4" s="370"/>
      <c r="F4" s="370"/>
      <c r="G4" s="370"/>
    </row>
    <row r="5" spans="1:10" ht="15">
      <c r="A5" s="4"/>
      <c r="B5" s="24"/>
      <c r="C5" s="162"/>
      <c r="D5" s="162"/>
      <c r="E5" s="162"/>
      <c r="F5" s="162"/>
      <c r="G5" s="5"/>
    </row>
    <row r="6" spans="1:10">
      <c r="A6" s="91" t="s">
        <v>1</v>
      </c>
      <c r="B6" s="92" t="str">
        <f>Register!B4</f>
        <v>ARCO</v>
      </c>
      <c r="C6" s="93"/>
      <c r="D6" s="94"/>
      <c r="E6" s="94"/>
      <c r="F6" s="94" t="s">
        <v>2</v>
      </c>
      <c r="G6" s="25">
        <f ca="1">TODAY()</f>
        <v>46187</v>
      </c>
    </row>
    <row r="7" spans="1:10">
      <c r="A7" s="91" t="s">
        <v>3</v>
      </c>
      <c r="B7" s="92" t="s">
        <v>4</v>
      </c>
      <c r="C7" s="93"/>
      <c r="D7" s="95"/>
      <c r="E7" s="95"/>
      <c r="F7" s="95" t="s">
        <v>5</v>
      </c>
      <c r="G7" s="96"/>
    </row>
    <row r="8" spans="1:10">
      <c r="A8" s="91" t="s">
        <v>6</v>
      </c>
      <c r="B8" s="92" t="str">
        <f>Register!B5</f>
        <v>22 - 24 Hood St, Subiaco</v>
      </c>
      <c r="C8" s="93"/>
      <c r="D8" s="93"/>
      <c r="E8" s="93"/>
      <c r="F8" s="93"/>
      <c r="G8" s="96"/>
    </row>
    <row r="9" spans="1:10">
      <c r="A9" s="91" t="s">
        <v>7</v>
      </c>
      <c r="B9" s="92">
        <f>Register!B3</f>
        <v>1504</v>
      </c>
      <c r="C9" s="97"/>
      <c r="D9" s="97"/>
      <c r="E9" s="97"/>
      <c r="F9" s="97"/>
      <c r="G9" s="96"/>
    </row>
    <row r="10" spans="1:10">
      <c r="A10" s="98"/>
      <c r="B10" s="99"/>
      <c r="C10" s="97"/>
      <c r="D10" s="97"/>
      <c r="E10" s="97"/>
      <c r="F10" s="97"/>
      <c r="G10" s="96"/>
    </row>
    <row r="11" spans="1:10" ht="14.5" thickBot="1">
      <c r="A11" s="100"/>
      <c r="B11" s="101" t="s">
        <v>138</v>
      </c>
      <c r="C11" s="102"/>
      <c r="D11" s="102"/>
      <c r="E11" s="102"/>
      <c r="F11" s="102"/>
      <c r="G11" s="103"/>
    </row>
    <row r="12" spans="1:10" ht="14.5" thickBot="1">
      <c r="A12" s="104" t="s">
        <v>8</v>
      </c>
      <c r="B12" s="379" t="s">
        <v>9</v>
      </c>
      <c r="C12" s="380"/>
      <c r="D12" s="380"/>
      <c r="E12" s="381"/>
      <c r="F12" s="105" t="s">
        <v>10</v>
      </c>
      <c r="G12" s="106" t="s">
        <v>11</v>
      </c>
    </row>
    <row r="13" spans="1:10">
      <c r="A13" s="107"/>
      <c r="B13" s="108"/>
      <c r="C13" s="112" t="s">
        <v>12</v>
      </c>
      <c r="D13" s="112" t="s">
        <v>13</v>
      </c>
      <c r="E13" s="185" t="s">
        <v>14</v>
      </c>
      <c r="F13" s="164"/>
      <c r="G13" s="165"/>
      <c r="H13" s="184"/>
      <c r="I13" s="184"/>
    </row>
    <row r="14" spans="1:10">
      <c r="A14" s="109">
        <v>1</v>
      </c>
      <c r="B14" s="82"/>
      <c r="C14" s="152"/>
      <c r="D14" s="150"/>
      <c r="E14" s="150"/>
      <c r="F14" s="166">
        <f>C14*E14</f>
        <v>0</v>
      </c>
      <c r="G14" s="172"/>
      <c r="I14" s="186"/>
      <c r="J14" s="331"/>
    </row>
    <row r="15" spans="1:10">
      <c r="A15" s="109">
        <v>2</v>
      </c>
      <c r="B15" s="82"/>
      <c r="C15" s="152"/>
      <c r="D15" s="150"/>
      <c r="E15" s="150"/>
      <c r="F15" s="166"/>
      <c r="G15" s="172"/>
      <c r="I15" s="186"/>
      <c r="J15" s="331"/>
    </row>
    <row r="16" spans="1:10">
      <c r="A16" s="109">
        <v>3</v>
      </c>
      <c r="B16" s="82"/>
      <c r="C16" s="152"/>
      <c r="D16" s="150"/>
      <c r="E16" s="84"/>
      <c r="F16" s="166"/>
      <c r="G16" s="172"/>
      <c r="I16" s="186"/>
      <c r="J16" s="186"/>
    </row>
    <row r="17" spans="1:10">
      <c r="A17" s="109">
        <v>4</v>
      </c>
      <c r="B17" s="82"/>
      <c r="C17" s="152"/>
      <c r="D17" s="150"/>
      <c r="E17" s="84"/>
      <c r="F17" s="166"/>
      <c r="G17" s="172"/>
    </row>
    <row r="18" spans="1:10" ht="14.5" thickBot="1">
      <c r="A18" s="111"/>
      <c r="B18" s="87"/>
      <c r="C18" s="88"/>
      <c r="D18" s="89"/>
      <c r="E18" s="90"/>
      <c r="F18" s="170"/>
      <c r="G18" s="171"/>
    </row>
    <row r="19" spans="1:10" ht="14.5" thickBot="1">
      <c r="A19" s="163" t="s">
        <v>17</v>
      </c>
      <c r="B19" s="8"/>
      <c r="C19" s="8"/>
      <c r="D19" s="8"/>
      <c r="F19" s="151">
        <f>SUM(F13:F18)</f>
        <v>0</v>
      </c>
      <c r="G19" s="180">
        <f>SUM(G13:G18)</f>
        <v>0</v>
      </c>
    </row>
    <row r="20" spans="1:10">
      <c r="A20" s="163" t="s">
        <v>18</v>
      </c>
      <c r="F20" s="209">
        <f>F19+G19</f>
        <v>0</v>
      </c>
      <c r="G20" s="210"/>
    </row>
    <row r="21" spans="1:10" ht="15" customHeight="1">
      <c r="A21" s="163" t="s">
        <v>19</v>
      </c>
      <c r="B21" s="163"/>
      <c r="F21" s="211">
        <f>F20*0.1</f>
        <v>0</v>
      </c>
      <c r="G21" s="218"/>
    </row>
    <row r="22" spans="1:10">
      <c r="A22" s="163" t="s">
        <v>20</v>
      </c>
      <c r="B22" s="163"/>
      <c r="F22" s="221">
        <f>F20+F21</f>
        <v>0</v>
      </c>
      <c r="G22" s="219"/>
    </row>
    <row r="23" spans="1:10" ht="14.5" thickBot="1">
      <c r="A23" s="163" t="s">
        <v>21</v>
      </c>
      <c r="B23" s="163"/>
      <c r="F23" s="212">
        <f>F22*0.1</f>
        <v>0</v>
      </c>
      <c r="G23" s="213"/>
    </row>
    <row r="24" spans="1:10" ht="14.5" thickBot="1">
      <c r="A24" s="163" t="s">
        <v>22</v>
      </c>
      <c r="B24" s="163"/>
      <c r="F24" s="374">
        <f>F22+F23</f>
        <v>0</v>
      </c>
      <c r="G24" s="375"/>
    </row>
    <row r="25" spans="1:10">
      <c r="A25" s="163"/>
      <c r="C25" s="23"/>
      <c r="D25" s="23"/>
      <c r="E25" s="23"/>
      <c r="F25" s="23"/>
      <c r="G25" s="23"/>
    </row>
    <row r="26" spans="1:10" ht="14.5" thickBot="1">
      <c r="A26" s="163"/>
      <c r="C26" s="376"/>
      <c r="D26" s="376"/>
      <c r="E26" s="376"/>
      <c r="F26" s="376"/>
      <c r="G26" s="376"/>
    </row>
    <row r="27" spans="1:10">
      <c r="A27" s="34"/>
      <c r="B27" s="9"/>
      <c r="D27" s="29"/>
      <c r="F27" s="35" t="s">
        <v>23</v>
      </c>
      <c r="G27" s="36"/>
      <c r="I27" s="10"/>
      <c r="J27" s="10"/>
    </row>
    <row r="28" spans="1:10" ht="20.25" customHeight="1">
      <c r="A28" s="34"/>
      <c r="B28" s="9"/>
      <c r="D28" s="27"/>
      <c r="F28" s="136" t="s">
        <v>100</v>
      </c>
      <c r="G28" s="28"/>
      <c r="I28" s="11"/>
      <c r="J28" s="11"/>
    </row>
    <row r="29" spans="1:10" ht="15" customHeight="1">
      <c r="A29" s="34"/>
      <c r="B29" s="9"/>
      <c r="D29" s="27"/>
      <c r="F29" s="38"/>
      <c r="G29" s="12"/>
      <c r="I29" s="11"/>
      <c r="J29" s="11"/>
    </row>
    <row r="30" spans="1:10">
      <c r="A30" s="377" t="s">
        <v>24</v>
      </c>
      <c r="B30" s="377"/>
      <c r="D30" s="29"/>
      <c r="F30" s="30" t="s">
        <v>25</v>
      </c>
      <c r="G30" s="31"/>
      <c r="I30" s="10"/>
      <c r="J30" s="10"/>
    </row>
    <row r="31" spans="1:10">
      <c r="A31" s="26"/>
      <c r="B31" s="26"/>
      <c r="D31" s="13"/>
      <c r="F31" s="32"/>
      <c r="G31" s="37"/>
      <c r="I31" s="13"/>
      <c r="J31" s="13"/>
    </row>
    <row r="32" spans="1:10">
      <c r="A32" s="26"/>
      <c r="B32" s="26"/>
      <c r="D32" s="13"/>
      <c r="F32" s="38"/>
      <c r="G32" s="12"/>
      <c r="I32" s="13"/>
      <c r="J32" s="13"/>
    </row>
    <row r="33" spans="1:7" ht="14.5" thickBot="1">
      <c r="A33" s="378"/>
      <c r="B33" s="378"/>
      <c r="C33" s="15"/>
      <c r="D33" s="15"/>
      <c r="F33" s="14"/>
      <c r="G33" s="33"/>
    </row>
    <row r="34" spans="1:7">
      <c r="A34" s="34"/>
      <c r="B34" s="9"/>
      <c r="C34" s="15"/>
      <c r="D34" s="15"/>
      <c r="E34" s="13"/>
      <c r="F34" s="13"/>
      <c r="G34" s="13"/>
    </row>
    <row r="35" spans="1:7">
      <c r="C35" s="15"/>
      <c r="D35" s="15"/>
      <c r="E35" s="15"/>
      <c r="F35" s="15"/>
      <c r="G35" s="16"/>
    </row>
    <row r="36" spans="1:7">
      <c r="C36" s="15"/>
      <c r="D36" s="15"/>
      <c r="E36" s="15"/>
      <c r="F36" s="15"/>
      <c r="G36" s="16"/>
    </row>
    <row r="37" spans="1:7">
      <c r="C37" s="15"/>
      <c r="D37" s="15"/>
      <c r="E37" s="15"/>
      <c r="F37" s="15"/>
      <c r="G37" s="16"/>
    </row>
    <row r="38" spans="1:7">
      <c r="C38" s="15"/>
      <c r="D38" s="15"/>
      <c r="E38" s="15"/>
      <c r="F38" s="15"/>
      <c r="G38" s="16"/>
    </row>
    <row r="39" spans="1:7">
      <c r="A39" s="17"/>
      <c r="B39" s="18"/>
      <c r="C39" s="6"/>
      <c r="D39" s="6"/>
      <c r="E39" s="6"/>
      <c r="F39" s="6"/>
      <c r="G39" s="7"/>
    </row>
    <row r="40" spans="1:7">
      <c r="A40" s="17"/>
      <c r="B40" s="18"/>
      <c r="C40" s="6"/>
      <c r="D40" s="6"/>
      <c r="E40" s="6"/>
      <c r="F40" s="6"/>
      <c r="G40" s="7"/>
    </row>
    <row r="41" spans="1:7">
      <c r="A41" s="17"/>
      <c r="B41" s="18"/>
      <c r="C41" s="6"/>
      <c r="D41" s="6"/>
      <c r="E41" s="6"/>
      <c r="F41" s="6"/>
      <c r="G41" s="7"/>
    </row>
    <row r="42" spans="1:7">
      <c r="A42" s="17"/>
      <c r="B42" s="18"/>
      <c r="C42" s="6"/>
      <c r="D42" s="6"/>
      <c r="E42" s="6"/>
      <c r="F42" s="6"/>
      <c r="G42" s="7"/>
    </row>
    <row r="43" spans="1:7">
      <c r="A43" s="17"/>
      <c r="B43" s="18"/>
      <c r="C43" s="6"/>
      <c r="D43" s="6"/>
      <c r="E43" s="6"/>
      <c r="F43" s="6"/>
      <c r="G43" s="7"/>
    </row>
    <row r="44" spans="1:7">
      <c r="A44" s="17"/>
      <c r="B44" s="18"/>
      <c r="C44" s="6"/>
      <c r="D44" s="6"/>
      <c r="E44" s="6"/>
      <c r="F44" s="6"/>
      <c r="G44" s="7"/>
    </row>
    <row r="45" spans="1:7">
      <c r="A45" s="19"/>
      <c r="B45" s="20"/>
      <c r="C45" s="6"/>
      <c r="D45" s="6"/>
      <c r="E45" s="6"/>
      <c r="F45" s="6"/>
      <c r="G45" s="21"/>
    </row>
    <row r="46" spans="1:7">
      <c r="A46" s="17"/>
      <c r="B46" s="18"/>
      <c r="C46" s="6"/>
      <c r="D46" s="6"/>
      <c r="E46" s="6"/>
      <c r="F46" s="6"/>
      <c r="G46" s="7"/>
    </row>
    <row r="47" spans="1:7">
      <c r="A47" s="19"/>
      <c r="B47" s="20"/>
      <c r="C47" s="6"/>
      <c r="D47" s="6"/>
      <c r="E47" s="6"/>
      <c r="F47" s="6"/>
      <c r="G47" s="21"/>
    </row>
    <row r="48" spans="1:7">
      <c r="A48" s="17"/>
      <c r="B48" s="18"/>
      <c r="C48" s="6"/>
      <c r="D48" s="6"/>
      <c r="E48" s="6"/>
      <c r="F48" s="6"/>
      <c r="G48" s="7"/>
    </row>
    <row r="49" spans="1:7">
      <c r="A49" s="19"/>
      <c r="B49" s="20"/>
      <c r="C49" s="6"/>
      <c r="D49" s="6"/>
      <c r="E49" s="6"/>
      <c r="F49" s="6"/>
      <c r="G49" s="21"/>
    </row>
    <row r="50" spans="1:7">
      <c r="A50" s="17"/>
      <c r="B50" s="18"/>
      <c r="C50" s="6"/>
      <c r="D50" s="6"/>
      <c r="E50" s="6"/>
      <c r="F50" s="6"/>
      <c r="G50" s="7"/>
    </row>
    <row r="51" spans="1:7">
      <c r="A51" s="17"/>
      <c r="B51" s="18"/>
      <c r="C51" s="6"/>
      <c r="D51" s="6"/>
      <c r="E51" s="6"/>
      <c r="F51" s="6"/>
      <c r="G51" s="7"/>
    </row>
    <row r="52" spans="1:7">
      <c r="A52" s="17"/>
      <c r="B52" s="18"/>
      <c r="C52" s="6"/>
      <c r="D52" s="6"/>
      <c r="E52" s="6"/>
      <c r="F52" s="6"/>
      <c r="G52" s="7"/>
    </row>
    <row r="53" spans="1:7">
      <c r="A53" s="17"/>
      <c r="B53" s="18"/>
      <c r="C53" s="6"/>
      <c r="D53" s="6"/>
      <c r="E53" s="6"/>
      <c r="F53" s="6"/>
      <c r="G53" s="7"/>
    </row>
    <row r="54" spans="1:7">
      <c r="A54" s="17"/>
      <c r="B54" s="18"/>
      <c r="C54" s="6"/>
      <c r="D54" s="6"/>
      <c r="E54" s="6"/>
      <c r="F54" s="6"/>
      <c r="G54" s="7"/>
    </row>
    <row r="55" spans="1:7">
      <c r="A55" s="17"/>
      <c r="B55" s="18"/>
      <c r="C55" s="6"/>
      <c r="D55" s="6"/>
      <c r="E55" s="6"/>
      <c r="F55" s="6"/>
      <c r="G55" s="7"/>
    </row>
  </sheetData>
  <mergeCells count="6">
    <mergeCell ref="A33:B33"/>
    <mergeCell ref="A4:G4"/>
    <mergeCell ref="B12:E12"/>
    <mergeCell ref="F24:G24"/>
    <mergeCell ref="C26:G26"/>
    <mergeCell ref="A30:B30"/>
  </mergeCells>
  <phoneticPr fontId="81" type="noConversion"/>
  <pageMargins left="0.7" right="0.7" top="0.75" bottom="0.75" header="0.3" footer="0.3"/>
  <pageSetup paperSize="9" scale="6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D20B-5B00-4062-9CF8-00F3EDEF6CAF}">
  <sheetPr>
    <pageSetUpPr fitToPage="1"/>
  </sheetPr>
  <dimension ref="A1:N44"/>
  <sheetViews>
    <sheetView tabSelected="1" zoomScale="85" zoomScaleNormal="85" workbookViewId="0">
      <selection activeCell="B10" sqref="B10"/>
    </sheetView>
  </sheetViews>
  <sheetFormatPr defaultColWidth="11.453125" defaultRowHeight="12.5"/>
  <cols>
    <col min="1" max="1" width="9" style="43" customWidth="1"/>
    <col min="2" max="2" width="73.1796875" style="45" customWidth="1"/>
    <col min="3" max="3" width="13.1796875" style="70" customWidth="1"/>
    <col min="4" max="4" width="20.1796875" style="70" customWidth="1"/>
    <col min="5" max="5" width="15.81640625" style="71" customWidth="1"/>
    <col min="6" max="6" width="13.26953125" style="72" customWidth="1"/>
    <col min="7" max="7" width="23.453125" style="50" customWidth="1"/>
    <col min="8" max="8" width="3.54296875" style="50" hidden="1" customWidth="1"/>
    <col min="9" max="9" width="4.1796875" style="50" hidden="1" customWidth="1"/>
    <col min="10" max="10" width="8.81640625" style="50" hidden="1" customWidth="1"/>
    <col min="11" max="11" width="12.54296875" style="50" customWidth="1"/>
    <col min="12" max="12" width="39.1796875" style="144" customWidth="1"/>
    <col min="13" max="13" width="12.54296875" style="45" customWidth="1"/>
    <col min="14" max="37" width="11.453125" style="46" customWidth="1"/>
    <col min="38" max="191" width="11.453125" style="46"/>
    <col min="192" max="192" width="0" style="46" hidden="1" customWidth="1"/>
    <col min="193" max="193" width="9" style="46" customWidth="1"/>
    <col min="194" max="194" width="0" style="46" hidden="1" customWidth="1"/>
    <col min="195" max="195" width="78" style="46" customWidth="1"/>
    <col min="196" max="196" width="14.26953125" style="46" customWidth="1"/>
    <col min="197" max="197" width="12.453125" style="46" customWidth="1"/>
    <col min="198" max="198" width="19" style="46" customWidth="1"/>
    <col min="199" max="199" width="11.26953125" style="46" customWidth="1"/>
    <col min="200" max="200" width="19" style="46" customWidth="1"/>
    <col min="201" max="201" width="2.1796875" style="46" customWidth="1"/>
    <col min="202" max="202" width="19" style="46" customWidth="1"/>
    <col min="203" max="203" width="37.453125" style="46" customWidth="1"/>
    <col min="204" max="293" width="11.453125" style="46" customWidth="1"/>
    <col min="294" max="447" width="11.453125" style="46"/>
    <col min="448" max="448" width="0" style="46" hidden="1" customWidth="1"/>
    <col min="449" max="449" width="9" style="46" customWidth="1"/>
    <col min="450" max="450" width="0" style="46" hidden="1" customWidth="1"/>
    <col min="451" max="451" width="78" style="46" customWidth="1"/>
    <col min="452" max="452" width="14.26953125" style="46" customWidth="1"/>
    <col min="453" max="453" width="12.453125" style="46" customWidth="1"/>
    <col min="454" max="454" width="19" style="46" customWidth="1"/>
    <col min="455" max="455" width="11.26953125" style="46" customWidth="1"/>
    <col min="456" max="456" width="19" style="46" customWidth="1"/>
    <col min="457" max="457" width="2.1796875" style="46" customWidth="1"/>
    <col min="458" max="458" width="19" style="46" customWidth="1"/>
    <col min="459" max="459" width="37.453125" style="46" customWidth="1"/>
    <col min="460" max="549" width="11.453125" style="46" customWidth="1"/>
    <col min="550" max="703" width="11.453125" style="46"/>
    <col min="704" max="704" width="0" style="46" hidden="1" customWidth="1"/>
    <col min="705" max="705" width="9" style="46" customWidth="1"/>
    <col min="706" max="706" width="0" style="46" hidden="1" customWidth="1"/>
    <col min="707" max="707" width="78" style="46" customWidth="1"/>
    <col min="708" max="708" width="14.26953125" style="46" customWidth="1"/>
    <col min="709" max="709" width="12.453125" style="46" customWidth="1"/>
    <col min="710" max="710" width="19" style="46" customWidth="1"/>
    <col min="711" max="711" width="11.26953125" style="46" customWidth="1"/>
    <col min="712" max="712" width="19" style="46" customWidth="1"/>
    <col min="713" max="713" width="2.1796875" style="46" customWidth="1"/>
    <col min="714" max="714" width="19" style="46" customWidth="1"/>
    <col min="715" max="715" width="37.453125" style="46" customWidth="1"/>
    <col min="716" max="805" width="11.453125" style="46" customWidth="1"/>
    <col min="806" max="959" width="11.453125" style="46"/>
    <col min="960" max="960" width="0" style="46" hidden="1" customWidth="1"/>
    <col min="961" max="961" width="9" style="46" customWidth="1"/>
    <col min="962" max="962" width="0" style="46" hidden="1" customWidth="1"/>
    <col min="963" max="963" width="78" style="46" customWidth="1"/>
    <col min="964" max="964" width="14.26953125" style="46" customWidth="1"/>
    <col min="965" max="965" width="12.453125" style="46" customWidth="1"/>
    <col min="966" max="966" width="19" style="46" customWidth="1"/>
    <col min="967" max="967" width="11.26953125" style="46" customWidth="1"/>
    <col min="968" max="968" width="19" style="46" customWidth="1"/>
    <col min="969" max="969" width="2.1796875" style="46" customWidth="1"/>
    <col min="970" max="970" width="19" style="46" customWidth="1"/>
    <col min="971" max="971" width="37.453125" style="46" customWidth="1"/>
    <col min="972" max="1061" width="11.453125" style="46" customWidth="1"/>
    <col min="1062" max="1215" width="11.453125" style="46"/>
    <col min="1216" max="1216" width="0" style="46" hidden="1" customWidth="1"/>
    <col min="1217" max="1217" width="9" style="46" customWidth="1"/>
    <col min="1218" max="1218" width="0" style="46" hidden="1" customWidth="1"/>
    <col min="1219" max="1219" width="78" style="46" customWidth="1"/>
    <col min="1220" max="1220" width="14.26953125" style="46" customWidth="1"/>
    <col min="1221" max="1221" width="12.453125" style="46" customWidth="1"/>
    <col min="1222" max="1222" width="19" style="46" customWidth="1"/>
    <col min="1223" max="1223" width="11.26953125" style="46" customWidth="1"/>
    <col min="1224" max="1224" width="19" style="46" customWidth="1"/>
    <col min="1225" max="1225" width="2.1796875" style="46" customWidth="1"/>
    <col min="1226" max="1226" width="19" style="46" customWidth="1"/>
    <col min="1227" max="1227" width="37.453125" style="46" customWidth="1"/>
    <col min="1228" max="1317" width="11.453125" style="46" customWidth="1"/>
    <col min="1318" max="1471" width="11.453125" style="46"/>
    <col min="1472" max="1472" width="0" style="46" hidden="1" customWidth="1"/>
    <col min="1473" max="1473" width="9" style="46" customWidth="1"/>
    <col min="1474" max="1474" width="0" style="46" hidden="1" customWidth="1"/>
    <col min="1475" max="1475" width="78" style="46" customWidth="1"/>
    <col min="1476" max="1476" width="14.26953125" style="46" customWidth="1"/>
    <col min="1477" max="1477" width="12.453125" style="46" customWidth="1"/>
    <col min="1478" max="1478" width="19" style="46" customWidth="1"/>
    <col min="1479" max="1479" width="11.26953125" style="46" customWidth="1"/>
    <col min="1480" max="1480" width="19" style="46" customWidth="1"/>
    <col min="1481" max="1481" width="2.1796875" style="46" customWidth="1"/>
    <col min="1482" max="1482" width="19" style="46" customWidth="1"/>
    <col min="1483" max="1483" width="37.453125" style="46" customWidth="1"/>
    <col min="1484" max="1573" width="11.453125" style="46" customWidth="1"/>
    <col min="1574" max="1727" width="11.453125" style="46"/>
    <col min="1728" max="1728" width="0" style="46" hidden="1" customWidth="1"/>
    <col min="1729" max="1729" width="9" style="46" customWidth="1"/>
    <col min="1730" max="1730" width="0" style="46" hidden="1" customWidth="1"/>
    <col min="1731" max="1731" width="78" style="46" customWidth="1"/>
    <col min="1732" max="1732" width="14.26953125" style="46" customWidth="1"/>
    <col min="1733" max="1733" width="12.453125" style="46" customWidth="1"/>
    <col min="1734" max="1734" width="19" style="46" customWidth="1"/>
    <col min="1735" max="1735" width="11.26953125" style="46" customWidth="1"/>
    <col min="1736" max="1736" width="19" style="46" customWidth="1"/>
    <col min="1737" max="1737" width="2.1796875" style="46" customWidth="1"/>
    <col min="1738" max="1738" width="19" style="46" customWidth="1"/>
    <col min="1739" max="1739" width="37.453125" style="46" customWidth="1"/>
    <col min="1740" max="1829" width="11.453125" style="46" customWidth="1"/>
    <col min="1830" max="1983" width="11.453125" style="46"/>
    <col min="1984" max="1984" width="0" style="46" hidden="1" customWidth="1"/>
    <col min="1985" max="1985" width="9" style="46" customWidth="1"/>
    <col min="1986" max="1986" width="0" style="46" hidden="1" customWidth="1"/>
    <col min="1987" max="1987" width="78" style="46" customWidth="1"/>
    <col min="1988" max="1988" width="14.26953125" style="46" customWidth="1"/>
    <col min="1989" max="1989" width="12.453125" style="46" customWidth="1"/>
    <col min="1990" max="1990" width="19" style="46" customWidth="1"/>
    <col min="1991" max="1991" width="11.26953125" style="46" customWidth="1"/>
    <col min="1992" max="1992" width="19" style="46" customWidth="1"/>
    <col min="1993" max="1993" width="2.1796875" style="46" customWidth="1"/>
    <col min="1994" max="1994" width="19" style="46" customWidth="1"/>
    <col min="1995" max="1995" width="37.453125" style="46" customWidth="1"/>
    <col min="1996" max="2085" width="11.453125" style="46" customWidth="1"/>
    <col min="2086" max="2239" width="11.453125" style="46"/>
    <col min="2240" max="2240" width="0" style="46" hidden="1" customWidth="1"/>
    <col min="2241" max="2241" width="9" style="46" customWidth="1"/>
    <col min="2242" max="2242" width="0" style="46" hidden="1" customWidth="1"/>
    <col min="2243" max="2243" width="78" style="46" customWidth="1"/>
    <col min="2244" max="2244" width="14.26953125" style="46" customWidth="1"/>
    <col min="2245" max="2245" width="12.453125" style="46" customWidth="1"/>
    <col min="2246" max="2246" width="19" style="46" customWidth="1"/>
    <col min="2247" max="2247" width="11.26953125" style="46" customWidth="1"/>
    <col min="2248" max="2248" width="19" style="46" customWidth="1"/>
    <col min="2249" max="2249" width="2.1796875" style="46" customWidth="1"/>
    <col min="2250" max="2250" width="19" style="46" customWidth="1"/>
    <col min="2251" max="2251" width="37.453125" style="46" customWidth="1"/>
    <col min="2252" max="2341" width="11.453125" style="46" customWidth="1"/>
    <col min="2342" max="2495" width="11.453125" style="46"/>
    <col min="2496" max="2496" width="0" style="46" hidden="1" customWidth="1"/>
    <col min="2497" max="2497" width="9" style="46" customWidth="1"/>
    <col min="2498" max="2498" width="0" style="46" hidden="1" customWidth="1"/>
    <col min="2499" max="2499" width="78" style="46" customWidth="1"/>
    <col min="2500" max="2500" width="14.26953125" style="46" customWidth="1"/>
    <col min="2501" max="2501" width="12.453125" style="46" customWidth="1"/>
    <col min="2502" max="2502" width="19" style="46" customWidth="1"/>
    <col min="2503" max="2503" width="11.26953125" style="46" customWidth="1"/>
    <col min="2504" max="2504" width="19" style="46" customWidth="1"/>
    <col min="2505" max="2505" width="2.1796875" style="46" customWidth="1"/>
    <col min="2506" max="2506" width="19" style="46" customWidth="1"/>
    <col min="2507" max="2507" width="37.453125" style="46" customWidth="1"/>
    <col min="2508" max="2597" width="11.453125" style="46" customWidth="1"/>
    <col min="2598" max="2751" width="11.453125" style="46"/>
    <col min="2752" max="2752" width="0" style="46" hidden="1" customWidth="1"/>
    <col min="2753" max="2753" width="9" style="46" customWidth="1"/>
    <col min="2754" max="2754" width="0" style="46" hidden="1" customWidth="1"/>
    <col min="2755" max="2755" width="78" style="46" customWidth="1"/>
    <col min="2756" max="2756" width="14.26953125" style="46" customWidth="1"/>
    <col min="2757" max="2757" width="12.453125" style="46" customWidth="1"/>
    <col min="2758" max="2758" width="19" style="46" customWidth="1"/>
    <col min="2759" max="2759" width="11.26953125" style="46" customWidth="1"/>
    <col min="2760" max="2760" width="19" style="46" customWidth="1"/>
    <col min="2761" max="2761" width="2.1796875" style="46" customWidth="1"/>
    <col min="2762" max="2762" width="19" style="46" customWidth="1"/>
    <col min="2763" max="2763" width="37.453125" style="46" customWidth="1"/>
    <col min="2764" max="2853" width="11.453125" style="46" customWidth="1"/>
    <col min="2854" max="3007" width="11.453125" style="46"/>
    <col min="3008" max="3008" width="0" style="46" hidden="1" customWidth="1"/>
    <col min="3009" max="3009" width="9" style="46" customWidth="1"/>
    <col min="3010" max="3010" width="0" style="46" hidden="1" customWidth="1"/>
    <col min="3011" max="3011" width="78" style="46" customWidth="1"/>
    <col min="3012" max="3012" width="14.26953125" style="46" customWidth="1"/>
    <col min="3013" max="3013" width="12.453125" style="46" customWidth="1"/>
    <col min="3014" max="3014" width="19" style="46" customWidth="1"/>
    <col min="3015" max="3015" width="11.26953125" style="46" customWidth="1"/>
    <col min="3016" max="3016" width="19" style="46" customWidth="1"/>
    <col min="3017" max="3017" width="2.1796875" style="46" customWidth="1"/>
    <col min="3018" max="3018" width="19" style="46" customWidth="1"/>
    <col min="3019" max="3019" width="37.453125" style="46" customWidth="1"/>
    <col min="3020" max="3109" width="11.453125" style="46" customWidth="1"/>
    <col min="3110" max="3263" width="11.453125" style="46"/>
    <col min="3264" max="3264" width="0" style="46" hidden="1" customWidth="1"/>
    <col min="3265" max="3265" width="9" style="46" customWidth="1"/>
    <col min="3266" max="3266" width="0" style="46" hidden="1" customWidth="1"/>
    <col min="3267" max="3267" width="78" style="46" customWidth="1"/>
    <col min="3268" max="3268" width="14.26953125" style="46" customWidth="1"/>
    <col min="3269" max="3269" width="12.453125" style="46" customWidth="1"/>
    <col min="3270" max="3270" width="19" style="46" customWidth="1"/>
    <col min="3271" max="3271" width="11.26953125" style="46" customWidth="1"/>
    <col min="3272" max="3272" width="19" style="46" customWidth="1"/>
    <col min="3273" max="3273" width="2.1796875" style="46" customWidth="1"/>
    <col min="3274" max="3274" width="19" style="46" customWidth="1"/>
    <col min="3275" max="3275" width="37.453125" style="46" customWidth="1"/>
    <col min="3276" max="3365" width="11.453125" style="46" customWidth="1"/>
    <col min="3366" max="3519" width="11.453125" style="46"/>
    <col min="3520" max="3520" width="0" style="46" hidden="1" customWidth="1"/>
    <col min="3521" max="3521" width="9" style="46" customWidth="1"/>
    <col min="3522" max="3522" width="0" style="46" hidden="1" customWidth="1"/>
    <col min="3523" max="3523" width="78" style="46" customWidth="1"/>
    <col min="3524" max="3524" width="14.26953125" style="46" customWidth="1"/>
    <col min="3525" max="3525" width="12.453125" style="46" customWidth="1"/>
    <col min="3526" max="3526" width="19" style="46" customWidth="1"/>
    <col min="3527" max="3527" width="11.26953125" style="46" customWidth="1"/>
    <col min="3528" max="3528" width="19" style="46" customWidth="1"/>
    <col min="3529" max="3529" width="2.1796875" style="46" customWidth="1"/>
    <col min="3530" max="3530" width="19" style="46" customWidth="1"/>
    <col min="3531" max="3531" width="37.453125" style="46" customWidth="1"/>
    <col min="3532" max="3621" width="11.453125" style="46" customWidth="1"/>
    <col min="3622" max="3775" width="11.453125" style="46"/>
    <col min="3776" max="3776" width="0" style="46" hidden="1" customWidth="1"/>
    <col min="3777" max="3777" width="9" style="46" customWidth="1"/>
    <col min="3778" max="3778" width="0" style="46" hidden="1" customWidth="1"/>
    <col min="3779" max="3779" width="78" style="46" customWidth="1"/>
    <col min="3780" max="3780" width="14.26953125" style="46" customWidth="1"/>
    <col min="3781" max="3781" width="12.453125" style="46" customWidth="1"/>
    <col min="3782" max="3782" width="19" style="46" customWidth="1"/>
    <col min="3783" max="3783" width="11.26953125" style="46" customWidth="1"/>
    <col min="3784" max="3784" width="19" style="46" customWidth="1"/>
    <col min="3785" max="3785" width="2.1796875" style="46" customWidth="1"/>
    <col min="3786" max="3786" width="19" style="46" customWidth="1"/>
    <col min="3787" max="3787" width="37.453125" style="46" customWidth="1"/>
    <col min="3788" max="3877" width="11.453125" style="46" customWidth="1"/>
    <col min="3878" max="4031" width="11.453125" style="46"/>
    <col min="4032" max="4032" width="0" style="46" hidden="1" customWidth="1"/>
    <col min="4033" max="4033" width="9" style="46" customWidth="1"/>
    <col min="4034" max="4034" width="0" style="46" hidden="1" customWidth="1"/>
    <col min="4035" max="4035" width="78" style="46" customWidth="1"/>
    <col min="4036" max="4036" width="14.26953125" style="46" customWidth="1"/>
    <col min="4037" max="4037" width="12.453125" style="46" customWidth="1"/>
    <col min="4038" max="4038" width="19" style="46" customWidth="1"/>
    <col min="4039" max="4039" width="11.26953125" style="46" customWidth="1"/>
    <col min="4040" max="4040" width="19" style="46" customWidth="1"/>
    <col min="4041" max="4041" width="2.1796875" style="46" customWidth="1"/>
    <col min="4042" max="4042" width="19" style="46" customWidth="1"/>
    <col min="4043" max="4043" width="37.453125" style="46" customWidth="1"/>
    <col min="4044" max="4133" width="11.453125" style="46" customWidth="1"/>
    <col min="4134" max="4287" width="11.453125" style="46"/>
    <col min="4288" max="4288" width="0" style="46" hidden="1" customWidth="1"/>
    <col min="4289" max="4289" width="9" style="46" customWidth="1"/>
    <col min="4290" max="4290" width="0" style="46" hidden="1" customWidth="1"/>
    <col min="4291" max="4291" width="78" style="46" customWidth="1"/>
    <col min="4292" max="4292" width="14.26953125" style="46" customWidth="1"/>
    <col min="4293" max="4293" width="12.453125" style="46" customWidth="1"/>
    <col min="4294" max="4294" width="19" style="46" customWidth="1"/>
    <col min="4295" max="4295" width="11.26953125" style="46" customWidth="1"/>
    <col min="4296" max="4296" width="19" style="46" customWidth="1"/>
    <col min="4297" max="4297" width="2.1796875" style="46" customWidth="1"/>
    <col min="4298" max="4298" width="19" style="46" customWidth="1"/>
    <col min="4299" max="4299" width="37.453125" style="46" customWidth="1"/>
    <col min="4300" max="4389" width="11.453125" style="46" customWidth="1"/>
    <col min="4390" max="4543" width="11.453125" style="46"/>
    <col min="4544" max="4544" width="0" style="46" hidden="1" customWidth="1"/>
    <col min="4545" max="4545" width="9" style="46" customWidth="1"/>
    <col min="4546" max="4546" width="0" style="46" hidden="1" customWidth="1"/>
    <col min="4547" max="4547" width="78" style="46" customWidth="1"/>
    <col min="4548" max="4548" width="14.26953125" style="46" customWidth="1"/>
    <col min="4549" max="4549" width="12.453125" style="46" customWidth="1"/>
    <col min="4550" max="4550" width="19" style="46" customWidth="1"/>
    <col min="4551" max="4551" width="11.26953125" style="46" customWidth="1"/>
    <col min="4552" max="4552" width="19" style="46" customWidth="1"/>
    <col min="4553" max="4553" width="2.1796875" style="46" customWidth="1"/>
    <col min="4554" max="4554" width="19" style="46" customWidth="1"/>
    <col min="4555" max="4555" width="37.453125" style="46" customWidth="1"/>
    <col min="4556" max="4645" width="11.453125" style="46" customWidth="1"/>
    <col min="4646" max="4799" width="11.453125" style="46"/>
    <col min="4800" max="4800" width="0" style="46" hidden="1" customWidth="1"/>
    <col min="4801" max="4801" width="9" style="46" customWidth="1"/>
    <col min="4802" max="4802" width="0" style="46" hidden="1" customWidth="1"/>
    <col min="4803" max="4803" width="78" style="46" customWidth="1"/>
    <col min="4804" max="4804" width="14.26953125" style="46" customWidth="1"/>
    <col min="4805" max="4805" width="12.453125" style="46" customWidth="1"/>
    <col min="4806" max="4806" width="19" style="46" customWidth="1"/>
    <col min="4807" max="4807" width="11.26953125" style="46" customWidth="1"/>
    <col min="4808" max="4808" width="19" style="46" customWidth="1"/>
    <col min="4809" max="4809" width="2.1796875" style="46" customWidth="1"/>
    <col min="4810" max="4810" width="19" style="46" customWidth="1"/>
    <col min="4811" max="4811" width="37.453125" style="46" customWidth="1"/>
    <col min="4812" max="4901" width="11.453125" style="46" customWidth="1"/>
    <col min="4902" max="5055" width="11.453125" style="46"/>
    <col min="5056" max="5056" width="0" style="46" hidden="1" customWidth="1"/>
    <col min="5057" max="5057" width="9" style="46" customWidth="1"/>
    <col min="5058" max="5058" width="0" style="46" hidden="1" customWidth="1"/>
    <col min="5059" max="5059" width="78" style="46" customWidth="1"/>
    <col min="5060" max="5060" width="14.26953125" style="46" customWidth="1"/>
    <col min="5061" max="5061" width="12.453125" style="46" customWidth="1"/>
    <col min="5062" max="5062" width="19" style="46" customWidth="1"/>
    <col min="5063" max="5063" width="11.26953125" style="46" customWidth="1"/>
    <col min="5064" max="5064" width="19" style="46" customWidth="1"/>
    <col min="5065" max="5065" width="2.1796875" style="46" customWidth="1"/>
    <col min="5066" max="5066" width="19" style="46" customWidth="1"/>
    <col min="5067" max="5067" width="37.453125" style="46" customWidth="1"/>
    <col min="5068" max="5157" width="11.453125" style="46" customWidth="1"/>
    <col min="5158" max="5311" width="11.453125" style="46"/>
    <col min="5312" max="5312" width="0" style="46" hidden="1" customWidth="1"/>
    <col min="5313" max="5313" width="9" style="46" customWidth="1"/>
    <col min="5314" max="5314" width="0" style="46" hidden="1" customWidth="1"/>
    <col min="5315" max="5315" width="78" style="46" customWidth="1"/>
    <col min="5316" max="5316" width="14.26953125" style="46" customWidth="1"/>
    <col min="5317" max="5317" width="12.453125" style="46" customWidth="1"/>
    <col min="5318" max="5318" width="19" style="46" customWidth="1"/>
    <col min="5319" max="5319" width="11.26953125" style="46" customWidth="1"/>
    <col min="5320" max="5320" width="19" style="46" customWidth="1"/>
    <col min="5321" max="5321" width="2.1796875" style="46" customWidth="1"/>
    <col min="5322" max="5322" width="19" style="46" customWidth="1"/>
    <col min="5323" max="5323" width="37.453125" style="46" customWidth="1"/>
    <col min="5324" max="5413" width="11.453125" style="46" customWidth="1"/>
    <col min="5414" max="5567" width="11.453125" style="46"/>
    <col min="5568" max="5568" width="0" style="46" hidden="1" customWidth="1"/>
    <col min="5569" max="5569" width="9" style="46" customWidth="1"/>
    <col min="5570" max="5570" width="0" style="46" hidden="1" customWidth="1"/>
    <col min="5571" max="5571" width="78" style="46" customWidth="1"/>
    <col min="5572" max="5572" width="14.26953125" style="46" customWidth="1"/>
    <col min="5573" max="5573" width="12.453125" style="46" customWidth="1"/>
    <col min="5574" max="5574" width="19" style="46" customWidth="1"/>
    <col min="5575" max="5575" width="11.26953125" style="46" customWidth="1"/>
    <col min="5576" max="5576" width="19" style="46" customWidth="1"/>
    <col min="5577" max="5577" width="2.1796875" style="46" customWidth="1"/>
    <col min="5578" max="5578" width="19" style="46" customWidth="1"/>
    <col min="5579" max="5579" width="37.453125" style="46" customWidth="1"/>
    <col min="5580" max="5669" width="11.453125" style="46" customWidth="1"/>
    <col min="5670" max="5823" width="11.453125" style="46"/>
    <col min="5824" max="5824" width="0" style="46" hidden="1" customWidth="1"/>
    <col min="5825" max="5825" width="9" style="46" customWidth="1"/>
    <col min="5826" max="5826" width="0" style="46" hidden="1" customWidth="1"/>
    <col min="5827" max="5827" width="78" style="46" customWidth="1"/>
    <col min="5828" max="5828" width="14.26953125" style="46" customWidth="1"/>
    <col min="5829" max="5829" width="12.453125" style="46" customWidth="1"/>
    <col min="5830" max="5830" width="19" style="46" customWidth="1"/>
    <col min="5831" max="5831" width="11.26953125" style="46" customWidth="1"/>
    <col min="5832" max="5832" width="19" style="46" customWidth="1"/>
    <col min="5833" max="5833" width="2.1796875" style="46" customWidth="1"/>
    <col min="5834" max="5834" width="19" style="46" customWidth="1"/>
    <col min="5835" max="5835" width="37.453125" style="46" customWidth="1"/>
    <col min="5836" max="5925" width="11.453125" style="46" customWidth="1"/>
    <col min="5926" max="6079" width="11.453125" style="46"/>
    <col min="6080" max="6080" width="0" style="46" hidden="1" customWidth="1"/>
    <col min="6081" max="6081" width="9" style="46" customWidth="1"/>
    <col min="6082" max="6082" width="0" style="46" hidden="1" customWidth="1"/>
    <col min="6083" max="6083" width="78" style="46" customWidth="1"/>
    <col min="6084" max="6084" width="14.26953125" style="46" customWidth="1"/>
    <col min="6085" max="6085" width="12.453125" style="46" customWidth="1"/>
    <col min="6086" max="6086" width="19" style="46" customWidth="1"/>
    <col min="6087" max="6087" width="11.26953125" style="46" customWidth="1"/>
    <col min="6088" max="6088" width="19" style="46" customWidth="1"/>
    <col min="6089" max="6089" width="2.1796875" style="46" customWidth="1"/>
    <col min="6090" max="6090" width="19" style="46" customWidth="1"/>
    <col min="6091" max="6091" width="37.453125" style="46" customWidth="1"/>
    <col min="6092" max="6181" width="11.453125" style="46" customWidth="1"/>
    <col min="6182" max="6335" width="11.453125" style="46"/>
    <col min="6336" max="6336" width="0" style="46" hidden="1" customWidth="1"/>
    <col min="6337" max="6337" width="9" style="46" customWidth="1"/>
    <col min="6338" max="6338" width="0" style="46" hidden="1" customWidth="1"/>
    <col min="6339" max="6339" width="78" style="46" customWidth="1"/>
    <col min="6340" max="6340" width="14.26953125" style="46" customWidth="1"/>
    <col min="6341" max="6341" width="12.453125" style="46" customWidth="1"/>
    <col min="6342" max="6342" width="19" style="46" customWidth="1"/>
    <col min="6343" max="6343" width="11.26953125" style="46" customWidth="1"/>
    <col min="6344" max="6344" width="19" style="46" customWidth="1"/>
    <col min="6345" max="6345" width="2.1796875" style="46" customWidth="1"/>
    <col min="6346" max="6346" width="19" style="46" customWidth="1"/>
    <col min="6347" max="6347" width="37.453125" style="46" customWidth="1"/>
    <col min="6348" max="6437" width="11.453125" style="46" customWidth="1"/>
    <col min="6438" max="6591" width="11.453125" style="46"/>
    <col min="6592" max="6592" width="0" style="46" hidden="1" customWidth="1"/>
    <col min="6593" max="6593" width="9" style="46" customWidth="1"/>
    <col min="6594" max="6594" width="0" style="46" hidden="1" customWidth="1"/>
    <col min="6595" max="6595" width="78" style="46" customWidth="1"/>
    <col min="6596" max="6596" width="14.26953125" style="46" customWidth="1"/>
    <col min="6597" max="6597" width="12.453125" style="46" customWidth="1"/>
    <col min="6598" max="6598" width="19" style="46" customWidth="1"/>
    <col min="6599" max="6599" width="11.26953125" style="46" customWidth="1"/>
    <col min="6600" max="6600" width="19" style="46" customWidth="1"/>
    <col min="6601" max="6601" width="2.1796875" style="46" customWidth="1"/>
    <col min="6602" max="6602" width="19" style="46" customWidth="1"/>
    <col min="6603" max="6603" width="37.453125" style="46" customWidth="1"/>
    <col min="6604" max="6693" width="11.453125" style="46" customWidth="1"/>
    <col min="6694" max="6847" width="11.453125" style="46"/>
    <col min="6848" max="6848" width="0" style="46" hidden="1" customWidth="1"/>
    <col min="6849" max="6849" width="9" style="46" customWidth="1"/>
    <col min="6850" max="6850" width="0" style="46" hidden="1" customWidth="1"/>
    <col min="6851" max="6851" width="78" style="46" customWidth="1"/>
    <col min="6852" max="6852" width="14.26953125" style="46" customWidth="1"/>
    <col min="6853" max="6853" width="12.453125" style="46" customWidth="1"/>
    <col min="6854" max="6854" width="19" style="46" customWidth="1"/>
    <col min="6855" max="6855" width="11.26953125" style="46" customWidth="1"/>
    <col min="6856" max="6856" width="19" style="46" customWidth="1"/>
    <col min="6857" max="6857" width="2.1796875" style="46" customWidth="1"/>
    <col min="6858" max="6858" width="19" style="46" customWidth="1"/>
    <col min="6859" max="6859" width="37.453125" style="46" customWidth="1"/>
    <col min="6860" max="6949" width="11.453125" style="46" customWidth="1"/>
    <col min="6950" max="7103" width="11.453125" style="46"/>
    <col min="7104" max="7104" width="0" style="46" hidden="1" customWidth="1"/>
    <col min="7105" max="7105" width="9" style="46" customWidth="1"/>
    <col min="7106" max="7106" width="0" style="46" hidden="1" customWidth="1"/>
    <col min="7107" max="7107" width="78" style="46" customWidth="1"/>
    <col min="7108" max="7108" width="14.26953125" style="46" customWidth="1"/>
    <col min="7109" max="7109" width="12.453125" style="46" customWidth="1"/>
    <col min="7110" max="7110" width="19" style="46" customWidth="1"/>
    <col min="7111" max="7111" width="11.26953125" style="46" customWidth="1"/>
    <col min="7112" max="7112" width="19" style="46" customWidth="1"/>
    <col min="7113" max="7113" width="2.1796875" style="46" customWidth="1"/>
    <col min="7114" max="7114" width="19" style="46" customWidth="1"/>
    <col min="7115" max="7115" width="37.453125" style="46" customWidth="1"/>
    <col min="7116" max="7205" width="11.453125" style="46" customWidth="1"/>
    <col min="7206" max="7359" width="11.453125" style="46"/>
    <col min="7360" max="7360" width="0" style="46" hidden="1" customWidth="1"/>
    <col min="7361" max="7361" width="9" style="46" customWidth="1"/>
    <col min="7362" max="7362" width="0" style="46" hidden="1" customWidth="1"/>
    <col min="7363" max="7363" width="78" style="46" customWidth="1"/>
    <col min="7364" max="7364" width="14.26953125" style="46" customWidth="1"/>
    <col min="7365" max="7365" width="12.453125" style="46" customWidth="1"/>
    <col min="7366" max="7366" width="19" style="46" customWidth="1"/>
    <col min="7367" max="7367" width="11.26953125" style="46" customWidth="1"/>
    <col min="7368" max="7368" width="19" style="46" customWidth="1"/>
    <col min="7369" max="7369" width="2.1796875" style="46" customWidth="1"/>
    <col min="7370" max="7370" width="19" style="46" customWidth="1"/>
    <col min="7371" max="7371" width="37.453125" style="46" customWidth="1"/>
    <col min="7372" max="7461" width="11.453125" style="46" customWidth="1"/>
    <col min="7462" max="7615" width="11.453125" style="46"/>
    <col min="7616" max="7616" width="0" style="46" hidden="1" customWidth="1"/>
    <col min="7617" max="7617" width="9" style="46" customWidth="1"/>
    <col min="7618" max="7618" width="0" style="46" hidden="1" customWidth="1"/>
    <col min="7619" max="7619" width="78" style="46" customWidth="1"/>
    <col min="7620" max="7620" width="14.26953125" style="46" customWidth="1"/>
    <col min="7621" max="7621" width="12.453125" style="46" customWidth="1"/>
    <col min="7622" max="7622" width="19" style="46" customWidth="1"/>
    <col min="7623" max="7623" width="11.26953125" style="46" customWidth="1"/>
    <col min="7624" max="7624" width="19" style="46" customWidth="1"/>
    <col min="7625" max="7625" width="2.1796875" style="46" customWidth="1"/>
    <col min="7626" max="7626" width="19" style="46" customWidth="1"/>
    <col min="7627" max="7627" width="37.453125" style="46" customWidth="1"/>
    <col min="7628" max="7717" width="11.453125" style="46" customWidth="1"/>
    <col min="7718" max="7871" width="11.453125" style="46"/>
    <col min="7872" max="7872" width="0" style="46" hidden="1" customWidth="1"/>
    <col min="7873" max="7873" width="9" style="46" customWidth="1"/>
    <col min="7874" max="7874" width="0" style="46" hidden="1" customWidth="1"/>
    <col min="7875" max="7875" width="78" style="46" customWidth="1"/>
    <col min="7876" max="7876" width="14.26953125" style="46" customWidth="1"/>
    <col min="7877" max="7877" width="12.453125" style="46" customWidth="1"/>
    <col min="7878" max="7878" width="19" style="46" customWidth="1"/>
    <col min="7879" max="7879" width="11.26953125" style="46" customWidth="1"/>
    <col min="7880" max="7880" width="19" style="46" customWidth="1"/>
    <col min="7881" max="7881" width="2.1796875" style="46" customWidth="1"/>
    <col min="7882" max="7882" width="19" style="46" customWidth="1"/>
    <col min="7883" max="7883" width="37.453125" style="46" customWidth="1"/>
    <col min="7884" max="7973" width="11.453125" style="46" customWidth="1"/>
    <col min="7974" max="8127" width="11.453125" style="46"/>
    <col min="8128" max="8128" width="0" style="46" hidden="1" customWidth="1"/>
    <col min="8129" max="8129" width="9" style="46" customWidth="1"/>
    <col min="8130" max="8130" width="0" style="46" hidden="1" customWidth="1"/>
    <col min="8131" max="8131" width="78" style="46" customWidth="1"/>
    <col min="8132" max="8132" width="14.26953125" style="46" customWidth="1"/>
    <col min="8133" max="8133" width="12.453125" style="46" customWidth="1"/>
    <col min="8134" max="8134" width="19" style="46" customWidth="1"/>
    <col min="8135" max="8135" width="11.26953125" style="46" customWidth="1"/>
    <col min="8136" max="8136" width="19" style="46" customWidth="1"/>
    <col min="8137" max="8137" width="2.1796875" style="46" customWidth="1"/>
    <col min="8138" max="8138" width="19" style="46" customWidth="1"/>
    <col min="8139" max="8139" width="37.453125" style="46" customWidth="1"/>
    <col min="8140" max="8229" width="11.453125" style="46" customWidth="1"/>
    <col min="8230" max="8383" width="11.453125" style="46"/>
    <col min="8384" max="8384" width="0" style="46" hidden="1" customWidth="1"/>
    <col min="8385" max="8385" width="9" style="46" customWidth="1"/>
    <col min="8386" max="8386" width="0" style="46" hidden="1" customWidth="1"/>
    <col min="8387" max="8387" width="78" style="46" customWidth="1"/>
    <col min="8388" max="8388" width="14.26953125" style="46" customWidth="1"/>
    <col min="8389" max="8389" width="12.453125" style="46" customWidth="1"/>
    <col min="8390" max="8390" width="19" style="46" customWidth="1"/>
    <col min="8391" max="8391" width="11.26953125" style="46" customWidth="1"/>
    <col min="8392" max="8392" width="19" style="46" customWidth="1"/>
    <col min="8393" max="8393" width="2.1796875" style="46" customWidth="1"/>
    <col min="8394" max="8394" width="19" style="46" customWidth="1"/>
    <col min="8395" max="8395" width="37.453125" style="46" customWidth="1"/>
    <col min="8396" max="8485" width="11.453125" style="46" customWidth="1"/>
    <col min="8486" max="8639" width="11.453125" style="46"/>
    <col min="8640" max="8640" width="0" style="46" hidden="1" customWidth="1"/>
    <col min="8641" max="8641" width="9" style="46" customWidth="1"/>
    <col min="8642" max="8642" width="0" style="46" hidden="1" customWidth="1"/>
    <col min="8643" max="8643" width="78" style="46" customWidth="1"/>
    <col min="8644" max="8644" width="14.26953125" style="46" customWidth="1"/>
    <col min="8645" max="8645" width="12.453125" style="46" customWidth="1"/>
    <col min="8646" max="8646" width="19" style="46" customWidth="1"/>
    <col min="8647" max="8647" width="11.26953125" style="46" customWidth="1"/>
    <col min="8648" max="8648" width="19" style="46" customWidth="1"/>
    <col min="8649" max="8649" width="2.1796875" style="46" customWidth="1"/>
    <col min="8650" max="8650" width="19" style="46" customWidth="1"/>
    <col min="8651" max="8651" width="37.453125" style="46" customWidth="1"/>
    <col min="8652" max="8741" width="11.453125" style="46" customWidth="1"/>
    <col min="8742" max="8895" width="11.453125" style="46"/>
    <col min="8896" max="8896" width="0" style="46" hidden="1" customWidth="1"/>
    <col min="8897" max="8897" width="9" style="46" customWidth="1"/>
    <col min="8898" max="8898" width="0" style="46" hidden="1" customWidth="1"/>
    <col min="8899" max="8899" width="78" style="46" customWidth="1"/>
    <col min="8900" max="8900" width="14.26953125" style="46" customWidth="1"/>
    <col min="8901" max="8901" width="12.453125" style="46" customWidth="1"/>
    <col min="8902" max="8902" width="19" style="46" customWidth="1"/>
    <col min="8903" max="8903" width="11.26953125" style="46" customWidth="1"/>
    <col min="8904" max="8904" width="19" style="46" customWidth="1"/>
    <col min="8905" max="8905" width="2.1796875" style="46" customWidth="1"/>
    <col min="8906" max="8906" width="19" style="46" customWidth="1"/>
    <col min="8907" max="8907" width="37.453125" style="46" customWidth="1"/>
    <col min="8908" max="8997" width="11.453125" style="46" customWidth="1"/>
    <col min="8998" max="9151" width="11.453125" style="46"/>
    <col min="9152" max="9152" width="0" style="46" hidden="1" customWidth="1"/>
    <col min="9153" max="9153" width="9" style="46" customWidth="1"/>
    <col min="9154" max="9154" width="0" style="46" hidden="1" customWidth="1"/>
    <col min="9155" max="9155" width="78" style="46" customWidth="1"/>
    <col min="9156" max="9156" width="14.26953125" style="46" customWidth="1"/>
    <col min="9157" max="9157" width="12.453125" style="46" customWidth="1"/>
    <col min="9158" max="9158" width="19" style="46" customWidth="1"/>
    <col min="9159" max="9159" width="11.26953125" style="46" customWidth="1"/>
    <col min="9160" max="9160" width="19" style="46" customWidth="1"/>
    <col min="9161" max="9161" width="2.1796875" style="46" customWidth="1"/>
    <col min="9162" max="9162" width="19" style="46" customWidth="1"/>
    <col min="9163" max="9163" width="37.453125" style="46" customWidth="1"/>
    <col min="9164" max="9253" width="11.453125" style="46" customWidth="1"/>
    <col min="9254" max="9407" width="11.453125" style="46"/>
    <col min="9408" max="9408" width="0" style="46" hidden="1" customWidth="1"/>
    <col min="9409" max="9409" width="9" style="46" customWidth="1"/>
    <col min="9410" max="9410" width="0" style="46" hidden="1" customWidth="1"/>
    <col min="9411" max="9411" width="78" style="46" customWidth="1"/>
    <col min="9412" max="9412" width="14.26953125" style="46" customWidth="1"/>
    <col min="9413" max="9413" width="12.453125" style="46" customWidth="1"/>
    <col min="9414" max="9414" width="19" style="46" customWidth="1"/>
    <col min="9415" max="9415" width="11.26953125" style="46" customWidth="1"/>
    <col min="9416" max="9416" width="19" style="46" customWidth="1"/>
    <col min="9417" max="9417" width="2.1796875" style="46" customWidth="1"/>
    <col min="9418" max="9418" width="19" style="46" customWidth="1"/>
    <col min="9419" max="9419" width="37.453125" style="46" customWidth="1"/>
    <col min="9420" max="9509" width="11.453125" style="46" customWidth="1"/>
    <col min="9510" max="9663" width="11.453125" style="46"/>
    <col min="9664" max="9664" width="0" style="46" hidden="1" customWidth="1"/>
    <col min="9665" max="9665" width="9" style="46" customWidth="1"/>
    <col min="9666" max="9666" width="0" style="46" hidden="1" customWidth="1"/>
    <col min="9667" max="9667" width="78" style="46" customWidth="1"/>
    <col min="9668" max="9668" width="14.26953125" style="46" customWidth="1"/>
    <col min="9669" max="9669" width="12.453125" style="46" customWidth="1"/>
    <col min="9670" max="9670" width="19" style="46" customWidth="1"/>
    <col min="9671" max="9671" width="11.26953125" style="46" customWidth="1"/>
    <col min="9672" max="9672" width="19" style="46" customWidth="1"/>
    <col min="9673" max="9673" width="2.1796875" style="46" customWidth="1"/>
    <col min="9674" max="9674" width="19" style="46" customWidth="1"/>
    <col min="9675" max="9675" width="37.453125" style="46" customWidth="1"/>
    <col min="9676" max="9765" width="11.453125" style="46" customWidth="1"/>
    <col min="9766" max="9919" width="11.453125" style="46"/>
    <col min="9920" max="9920" width="0" style="46" hidden="1" customWidth="1"/>
    <col min="9921" max="9921" width="9" style="46" customWidth="1"/>
    <col min="9922" max="9922" width="0" style="46" hidden="1" customWidth="1"/>
    <col min="9923" max="9923" width="78" style="46" customWidth="1"/>
    <col min="9924" max="9924" width="14.26953125" style="46" customWidth="1"/>
    <col min="9925" max="9925" width="12.453125" style="46" customWidth="1"/>
    <col min="9926" max="9926" width="19" style="46" customWidth="1"/>
    <col min="9927" max="9927" width="11.26953125" style="46" customWidth="1"/>
    <col min="9928" max="9928" width="19" style="46" customWidth="1"/>
    <col min="9929" max="9929" width="2.1796875" style="46" customWidth="1"/>
    <col min="9930" max="9930" width="19" style="46" customWidth="1"/>
    <col min="9931" max="9931" width="37.453125" style="46" customWidth="1"/>
    <col min="9932" max="10021" width="11.453125" style="46" customWidth="1"/>
    <col min="10022" max="10175" width="11.453125" style="46"/>
    <col min="10176" max="10176" width="0" style="46" hidden="1" customWidth="1"/>
    <col min="10177" max="10177" width="9" style="46" customWidth="1"/>
    <col min="10178" max="10178" width="0" style="46" hidden="1" customWidth="1"/>
    <col min="10179" max="10179" width="78" style="46" customWidth="1"/>
    <col min="10180" max="10180" width="14.26953125" style="46" customWidth="1"/>
    <col min="10181" max="10181" width="12.453125" style="46" customWidth="1"/>
    <col min="10182" max="10182" width="19" style="46" customWidth="1"/>
    <col min="10183" max="10183" width="11.26953125" style="46" customWidth="1"/>
    <col min="10184" max="10184" width="19" style="46" customWidth="1"/>
    <col min="10185" max="10185" width="2.1796875" style="46" customWidth="1"/>
    <col min="10186" max="10186" width="19" style="46" customWidth="1"/>
    <col min="10187" max="10187" width="37.453125" style="46" customWidth="1"/>
    <col min="10188" max="10277" width="11.453125" style="46" customWidth="1"/>
    <col min="10278" max="10431" width="11.453125" style="46"/>
    <col min="10432" max="10432" width="0" style="46" hidden="1" customWidth="1"/>
    <col min="10433" max="10433" width="9" style="46" customWidth="1"/>
    <col min="10434" max="10434" width="0" style="46" hidden="1" customWidth="1"/>
    <col min="10435" max="10435" width="78" style="46" customWidth="1"/>
    <col min="10436" max="10436" width="14.26953125" style="46" customWidth="1"/>
    <col min="10437" max="10437" width="12.453125" style="46" customWidth="1"/>
    <col min="10438" max="10438" width="19" style="46" customWidth="1"/>
    <col min="10439" max="10439" width="11.26953125" style="46" customWidth="1"/>
    <col min="10440" max="10440" width="19" style="46" customWidth="1"/>
    <col min="10441" max="10441" width="2.1796875" style="46" customWidth="1"/>
    <col min="10442" max="10442" width="19" style="46" customWidth="1"/>
    <col min="10443" max="10443" width="37.453125" style="46" customWidth="1"/>
    <col min="10444" max="10533" width="11.453125" style="46" customWidth="1"/>
    <col min="10534" max="10687" width="11.453125" style="46"/>
    <col min="10688" max="10688" width="0" style="46" hidden="1" customWidth="1"/>
    <col min="10689" max="10689" width="9" style="46" customWidth="1"/>
    <col min="10690" max="10690" width="0" style="46" hidden="1" customWidth="1"/>
    <col min="10691" max="10691" width="78" style="46" customWidth="1"/>
    <col min="10692" max="10692" width="14.26953125" style="46" customWidth="1"/>
    <col min="10693" max="10693" width="12.453125" style="46" customWidth="1"/>
    <col min="10694" max="10694" width="19" style="46" customWidth="1"/>
    <col min="10695" max="10695" width="11.26953125" style="46" customWidth="1"/>
    <col min="10696" max="10696" width="19" style="46" customWidth="1"/>
    <col min="10697" max="10697" width="2.1796875" style="46" customWidth="1"/>
    <col min="10698" max="10698" width="19" style="46" customWidth="1"/>
    <col min="10699" max="10699" width="37.453125" style="46" customWidth="1"/>
    <col min="10700" max="10789" width="11.453125" style="46" customWidth="1"/>
    <col min="10790" max="10943" width="11.453125" style="46"/>
    <col min="10944" max="10944" width="0" style="46" hidden="1" customWidth="1"/>
    <col min="10945" max="10945" width="9" style="46" customWidth="1"/>
    <col min="10946" max="10946" width="0" style="46" hidden="1" customWidth="1"/>
    <col min="10947" max="10947" width="78" style="46" customWidth="1"/>
    <col min="10948" max="10948" width="14.26953125" style="46" customWidth="1"/>
    <col min="10949" max="10949" width="12.453125" style="46" customWidth="1"/>
    <col min="10950" max="10950" width="19" style="46" customWidth="1"/>
    <col min="10951" max="10951" width="11.26953125" style="46" customWidth="1"/>
    <col min="10952" max="10952" width="19" style="46" customWidth="1"/>
    <col min="10953" max="10953" width="2.1796875" style="46" customWidth="1"/>
    <col min="10954" max="10954" width="19" style="46" customWidth="1"/>
    <col min="10955" max="10955" width="37.453125" style="46" customWidth="1"/>
    <col min="10956" max="11045" width="11.453125" style="46" customWidth="1"/>
    <col min="11046" max="11199" width="11.453125" style="46"/>
    <col min="11200" max="11200" width="0" style="46" hidden="1" customWidth="1"/>
    <col min="11201" max="11201" width="9" style="46" customWidth="1"/>
    <col min="11202" max="11202" width="0" style="46" hidden="1" customWidth="1"/>
    <col min="11203" max="11203" width="78" style="46" customWidth="1"/>
    <col min="11204" max="11204" width="14.26953125" style="46" customWidth="1"/>
    <col min="11205" max="11205" width="12.453125" style="46" customWidth="1"/>
    <col min="11206" max="11206" width="19" style="46" customWidth="1"/>
    <col min="11207" max="11207" width="11.26953125" style="46" customWidth="1"/>
    <col min="11208" max="11208" width="19" style="46" customWidth="1"/>
    <col min="11209" max="11209" width="2.1796875" style="46" customWidth="1"/>
    <col min="11210" max="11210" width="19" style="46" customWidth="1"/>
    <col min="11211" max="11211" width="37.453125" style="46" customWidth="1"/>
    <col min="11212" max="11301" width="11.453125" style="46" customWidth="1"/>
    <col min="11302" max="11455" width="11.453125" style="46"/>
    <col min="11456" max="11456" width="0" style="46" hidden="1" customWidth="1"/>
    <col min="11457" max="11457" width="9" style="46" customWidth="1"/>
    <col min="11458" max="11458" width="0" style="46" hidden="1" customWidth="1"/>
    <col min="11459" max="11459" width="78" style="46" customWidth="1"/>
    <col min="11460" max="11460" width="14.26953125" style="46" customWidth="1"/>
    <col min="11461" max="11461" width="12.453125" style="46" customWidth="1"/>
    <col min="11462" max="11462" width="19" style="46" customWidth="1"/>
    <col min="11463" max="11463" width="11.26953125" style="46" customWidth="1"/>
    <col min="11464" max="11464" width="19" style="46" customWidth="1"/>
    <col min="11465" max="11465" width="2.1796875" style="46" customWidth="1"/>
    <col min="11466" max="11466" width="19" style="46" customWidth="1"/>
    <col min="11467" max="11467" width="37.453125" style="46" customWidth="1"/>
    <col min="11468" max="11557" width="11.453125" style="46" customWidth="1"/>
    <col min="11558" max="11711" width="11.453125" style="46"/>
    <col min="11712" max="11712" width="0" style="46" hidden="1" customWidth="1"/>
    <col min="11713" max="11713" width="9" style="46" customWidth="1"/>
    <col min="11714" max="11714" width="0" style="46" hidden="1" customWidth="1"/>
    <col min="11715" max="11715" width="78" style="46" customWidth="1"/>
    <col min="11716" max="11716" width="14.26953125" style="46" customWidth="1"/>
    <col min="11717" max="11717" width="12.453125" style="46" customWidth="1"/>
    <col min="11718" max="11718" width="19" style="46" customWidth="1"/>
    <col min="11719" max="11719" width="11.26953125" style="46" customWidth="1"/>
    <col min="11720" max="11720" width="19" style="46" customWidth="1"/>
    <col min="11721" max="11721" width="2.1796875" style="46" customWidth="1"/>
    <col min="11722" max="11722" width="19" style="46" customWidth="1"/>
    <col min="11723" max="11723" width="37.453125" style="46" customWidth="1"/>
    <col min="11724" max="11813" width="11.453125" style="46" customWidth="1"/>
    <col min="11814" max="11967" width="11.453125" style="46"/>
    <col min="11968" max="11968" width="0" style="46" hidden="1" customWidth="1"/>
    <col min="11969" max="11969" width="9" style="46" customWidth="1"/>
    <col min="11970" max="11970" width="0" style="46" hidden="1" customWidth="1"/>
    <col min="11971" max="11971" width="78" style="46" customWidth="1"/>
    <col min="11972" max="11972" width="14.26953125" style="46" customWidth="1"/>
    <col min="11973" max="11973" width="12.453125" style="46" customWidth="1"/>
    <col min="11974" max="11974" width="19" style="46" customWidth="1"/>
    <col min="11975" max="11975" width="11.26953125" style="46" customWidth="1"/>
    <col min="11976" max="11976" width="19" style="46" customWidth="1"/>
    <col min="11977" max="11977" width="2.1796875" style="46" customWidth="1"/>
    <col min="11978" max="11978" width="19" style="46" customWidth="1"/>
    <col min="11979" max="11979" width="37.453125" style="46" customWidth="1"/>
    <col min="11980" max="12069" width="11.453125" style="46" customWidth="1"/>
    <col min="12070" max="12223" width="11.453125" style="46"/>
    <col min="12224" max="12224" width="0" style="46" hidden="1" customWidth="1"/>
    <col min="12225" max="12225" width="9" style="46" customWidth="1"/>
    <col min="12226" max="12226" width="0" style="46" hidden="1" customWidth="1"/>
    <col min="12227" max="12227" width="78" style="46" customWidth="1"/>
    <col min="12228" max="12228" width="14.26953125" style="46" customWidth="1"/>
    <col min="12229" max="12229" width="12.453125" style="46" customWidth="1"/>
    <col min="12230" max="12230" width="19" style="46" customWidth="1"/>
    <col min="12231" max="12231" width="11.26953125" style="46" customWidth="1"/>
    <col min="12232" max="12232" width="19" style="46" customWidth="1"/>
    <col min="12233" max="12233" width="2.1796875" style="46" customWidth="1"/>
    <col min="12234" max="12234" width="19" style="46" customWidth="1"/>
    <col min="12235" max="12235" width="37.453125" style="46" customWidth="1"/>
    <col min="12236" max="12325" width="11.453125" style="46" customWidth="1"/>
    <col min="12326" max="12479" width="11.453125" style="46"/>
    <col min="12480" max="12480" width="0" style="46" hidden="1" customWidth="1"/>
    <col min="12481" max="12481" width="9" style="46" customWidth="1"/>
    <col min="12482" max="12482" width="0" style="46" hidden="1" customWidth="1"/>
    <col min="12483" max="12483" width="78" style="46" customWidth="1"/>
    <col min="12484" max="12484" width="14.26953125" style="46" customWidth="1"/>
    <col min="12485" max="12485" width="12.453125" style="46" customWidth="1"/>
    <col min="12486" max="12486" width="19" style="46" customWidth="1"/>
    <col min="12487" max="12487" width="11.26953125" style="46" customWidth="1"/>
    <col min="12488" max="12488" width="19" style="46" customWidth="1"/>
    <col min="12489" max="12489" width="2.1796875" style="46" customWidth="1"/>
    <col min="12490" max="12490" width="19" style="46" customWidth="1"/>
    <col min="12491" max="12491" width="37.453125" style="46" customWidth="1"/>
    <col min="12492" max="12581" width="11.453125" style="46" customWidth="1"/>
    <col min="12582" max="12735" width="11.453125" style="46"/>
    <col min="12736" max="12736" width="0" style="46" hidden="1" customWidth="1"/>
    <col min="12737" max="12737" width="9" style="46" customWidth="1"/>
    <col min="12738" max="12738" width="0" style="46" hidden="1" customWidth="1"/>
    <col min="12739" max="12739" width="78" style="46" customWidth="1"/>
    <col min="12740" max="12740" width="14.26953125" style="46" customWidth="1"/>
    <col min="12741" max="12741" width="12.453125" style="46" customWidth="1"/>
    <col min="12742" max="12742" width="19" style="46" customWidth="1"/>
    <col min="12743" max="12743" width="11.26953125" style="46" customWidth="1"/>
    <col min="12744" max="12744" width="19" style="46" customWidth="1"/>
    <col min="12745" max="12745" width="2.1796875" style="46" customWidth="1"/>
    <col min="12746" max="12746" width="19" style="46" customWidth="1"/>
    <col min="12747" max="12747" width="37.453125" style="46" customWidth="1"/>
    <col min="12748" max="12837" width="11.453125" style="46" customWidth="1"/>
    <col min="12838" max="12991" width="11.453125" style="46"/>
    <col min="12992" max="12992" width="0" style="46" hidden="1" customWidth="1"/>
    <col min="12993" max="12993" width="9" style="46" customWidth="1"/>
    <col min="12994" max="12994" width="0" style="46" hidden="1" customWidth="1"/>
    <col min="12995" max="12995" width="78" style="46" customWidth="1"/>
    <col min="12996" max="12996" width="14.26953125" style="46" customWidth="1"/>
    <col min="12997" max="12997" width="12.453125" style="46" customWidth="1"/>
    <col min="12998" max="12998" width="19" style="46" customWidth="1"/>
    <col min="12999" max="12999" width="11.26953125" style="46" customWidth="1"/>
    <col min="13000" max="13000" width="19" style="46" customWidth="1"/>
    <col min="13001" max="13001" width="2.1796875" style="46" customWidth="1"/>
    <col min="13002" max="13002" width="19" style="46" customWidth="1"/>
    <col min="13003" max="13003" width="37.453125" style="46" customWidth="1"/>
    <col min="13004" max="13093" width="11.453125" style="46" customWidth="1"/>
    <col min="13094" max="13247" width="11.453125" style="46"/>
    <col min="13248" max="13248" width="0" style="46" hidden="1" customWidth="1"/>
    <col min="13249" max="13249" width="9" style="46" customWidth="1"/>
    <col min="13250" max="13250" width="0" style="46" hidden="1" customWidth="1"/>
    <col min="13251" max="13251" width="78" style="46" customWidth="1"/>
    <col min="13252" max="13252" width="14.26953125" style="46" customWidth="1"/>
    <col min="13253" max="13253" width="12.453125" style="46" customWidth="1"/>
    <col min="13254" max="13254" width="19" style="46" customWidth="1"/>
    <col min="13255" max="13255" width="11.26953125" style="46" customWidth="1"/>
    <col min="13256" max="13256" width="19" style="46" customWidth="1"/>
    <col min="13257" max="13257" width="2.1796875" style="46" customWidth="1"/>
    <col min="13258" max="13258" width="19" style="46" customWidth="1"/>
    <col min="13259" max="13259" width="37.453125" style="46" customWidth="1"/>
    <col min="13260" max="13349" width="11.453125" style="46" customWidth="1"/>
    <col min="13350" max="13503" width="11.453125" style="46"/>
    <col min="13504" max="13504" width="0" style="46" hidden="1" customWidth="1"/>
    <col min="13505" max="13505" width="9" style="46" customWidth="1"/>
    <col min="13506" max="13506" width="0" style="46" hidden="1" customWidth="1"/>
    <col min="13507" max="13507" width="78" style="46" customWidth="1"/>
    <col min="13508" max="13508" width="14.26953125" style="46" customWidth="1"/>
    <col min="13509" max="13509" width="12.453125" style="46" customWidth="1"/>
    <col min="13510" max="13510" width="19" style="46" customWidth="1"/>
    <col min="13511" max="13511" width="11.26953125" style="46" customWidth="1"/>
    <col min="13512" max="13512" width="19" style="46" customWidth="1"/>
    <col min="13513" max="13513" width="2.1796875" style="46" customWidth="1"/>
    <col min="13514" max="13514" width="19" style="46" customWidth="1"/>
    <col min="13515" max="13515" width="37.453125" style="46" customWidth="1"/>
    <col min="13516" max="13605" width="11.453125" style="46" customWidth="1"/>
    <col min="13606" max="13759" width="11.453125" style="46"/>
    <col min="13760" max="13760" width="0" style="46" hidden="1" customWidth="1"/>
    <col min="13761" max="13761" width="9" style="46" customWidth="1"/>
    <col min="13762" max="13762" width="0" style="46" hidden="1" customWidth="1"/>
    <col min="13763" max="13763" width="78" style="46" customWidth="1"/>
    <col min="13764" max="13764" width="14.26953125" style="46" customWidth="1"/>
    <col min="13765" max="13765" width="12.453125" style="46" customWidth="1"/>
    <col min="13766" max="13766" width="19" style="46" customWidth="1"/>
    <col min="13767" max="13767" width="11.26953125" style="46" customWidth="1"/>
    <col min="13768" max="13768" width="19" style="46" customWidth="1"/>
    <col min="13769" max="13769" width="2.1796875" style="46" customWidth="1"/>
    <col min="13770" max="13770" width="19" style="46" customWidth="1"/>
    <col min="13771" max="13771" width="37.453125" style="46" customWidth="1"/>
    <col min="13772" max="13861" width="11.453125" style="46" customWidth="1"/>
    <col min="13862" max="14015" width="11.453125" style="46"/>
    <col min="14016" max="14016" width="0" style="46" hidden="1" customWidth="1"/>
    <col min="14017" max="14017" width="9" style="46" customWidth="1"/>
    <col min="14018" max="14018" width="0" style="46" hidden="1" customWidth="1"/>
    <col min="14019" max="14019" width="78" style="46" customWidth="1"/>
    <col min="14020" max="14020" width="14.26953125" style="46" customWidth="1"/>
    <col min="14021" max="14021" width="12.453125" style="46" customWidth="1"/>
    <col min="14022" max="14022" width="19" style="46" customWidth="1"/>
    <col min="14023" max="14023" width="11.26953125" style="46" customWidth="1"/>
    <col min="14024" max="14024" width="19" style="46" customWidth="1"/>
    <col min="14025" max="14025" width="2.1796875" style="46" customWidth="1"/>
    <col min="14026" max="14026" width="19" style="46" customWidth="1"/>
    <col min="14027" max="14027" width="37.453125" style="46" customWidth="1"/>
    <col min="14028" max="14117" width="11.453125" style="46" customWidth="1"/>
    <col min="14118" max="14271" width="11.453125" style="46"/>
    <col min="14272" max="14272" width="0" style="46" hidden="1" customWidth="1"/>
    <col min="14273" max="14273" width="9" style="46" customWidth="1"/>
    <col min="14274" max="14274" width="0" style="46" hidden="1" customWidth="1"/>
    <col min="14275" max="14275" width="78" style="46" customWidth="1"/>
    <col min="14276" max="14276" width="14.26953125" style="46" customWidth="1"/>
    <col min="14277" max="14277" width="12.453125" style="46" customWidth="1"/>
    <col min="14278" max="14278" width="19" style="46" customWidth="1"/>
    <col min="14279" max="14279" width="11.26953125" style="46" customWidth="1"/>
    <col min="14280" max="14280" width="19" style="46" customWidth="1"/>
    <col min="14281" max="14281" width="2.1796875" style="46" customWidth="1"/>
    <col min="14282" max="14282" width="19" style="46" customWidth="1"/>
    <col min="14283" max="14283" width="37.453125" style="46" customWidth="1"/>
    <col min="14284" max="14373" width="11.453125" style="46" customWidth="1"/>
    <col min="14374" max="14527" width="11.453125" style="46"/>
    <col min="14528" max="14528" width="0" style="46" hidden="1" customWidth="1"/>
    <col min="14529" max="14529" width="9" style="46" customWidth="1"/>
    <col min="14530" max="14530" width="0" style="46" hidden="1" customWidth="1"/>
    <col min="14531" max="14531" width="78" style="46" customWidth="1"/>
    <col min="14532" max="14532" width="14.26953125" style="46" customWidth="1"/>
    <col min="14533" max="14533" width="12.453125" style="46" customWidth="1"/>
    <col min="14534" max="14534" width="19" style="46" customWidth="1"/>
    <col min="14535" max="14535" width="11.26953125" style="46" customWidth="1"/>
    <col min="14536" max="14536" width="19" style="46" customWidth="1"/>
    <col min="14537" max="14537" width="2.1796875" style="46" customWidth="1"/>
    <col min="14538" max="14538" width="19" style="46" customWidth="1"/>
    <col min="14539" max="14539" width="37.453125" style="46" customWidth="1"/>
    <col min="14540" max="14629" width="11.453125" style="46" customWidth="1"/>
    <col min="14630" max="14783" width="11.453125" style="46"/>
    <col min="14784" max="14784" width="0" style="46" hidden="1" customWidth="1"/>
    <col min="14785" max="14785" width="9" style="46" customWidth="1"/>
    <col min="14786" max="14786" width="0" style="46" hidden="1" customWidth="1"/>
    <col min="14787" max="14787" width="78" style="46" customWidth="1"/>
    <col min="14788" max="14788" width="14.26953125" style="46" customWidth="1"/>
    <col min="14789" max="14789" width="12.453125" style="46" customWidth="1"/>
    <col min="14790" max="14790" width="19" style="46" customWidth="1"/>
    <col min="14791" max="14791" width="11.26953125" style="46" customWidth="1"/>
    <col min="14792" max="14792" width="19" style="46" customWidth="1"/>
    <col min="14793" max="14793" width="2.1796875" style="46" customWidth="1"/>
    <col min="14794" max="14794" width="19" style="46" customWidth="1"/>
    <col min="14795" max="14795" width="37.453125" style="46" customWidth="1"/>
    <col min="14796" max="14885" width="11.453125" style="46" customWidth="1"/>
    <col min="14886" max="15039" width="11.453125" style="46"/>
    <col min="15040" max="15040" width="0" style="46" hidden="1" customWidth="1"/>
    <col min="15041" max="15041" width="9" style="46" customWidth="1"/>
    <col min="15042" max="15042" width="0" style="46" hidden="1" customWidth="1"/>
    <col min="15043" max="15043" width="78" style="46" customWidth="1"/>
    <col min="15044" max="15044" width="14.26953125" style="46" customWidth="1"/>
    <col min="15045" max="15045" width="12.453125" style="46" customWidth="1"/>
    <col min="15046" max="15046" width="19" style="46" customWidth="1"/>
    <col min="15047" max="15047" width="11.26953125" style="46" customWidth="1"/>
    <col min="15048" max="15048" width="19" style="46" customWidth="1"/>
    <col min="15049" max="15049" width="2.1796875" style="46" customWidth="1"/>
    <col min="15050" max="15050" width="19" style="46" customWidth="1"/>
    <col min="15051" max="15051" width="37.453125" style="46" customWidth="1"/>
    <col min="15052" max="15141" width="11.453125" style="46" customWidth="1"/>
    <col min="15142" max="15295" width="11.453125" style="46"/>
    <col min="15296" max="15296" width="0" style="46" hidden="1" customWidth="1"/>
    <col min="15297" max="15297" width="9" style="46" customWidth="1"/>
    <col min="15298" max="15298" width="0" style="46" hidden="1" customWidth="1"/>
    <col min="15299" max="15299" width="78" style="46" customWidth="1"/>
    <col min="15300" max="15300" width="14.26953125" style="46" customWidth="1"/>
    <col min="15301" max="15301" width="12.453125" style="46" customWidth="1"/>
    <col min="15302" max="15302" width="19" style="46" customWidth="1"/>
    <col min="15303" max="15303" width="11.26953125" style="46" customWidth="1"/>
    <col min="15304" max="15304" width="19" style="46" customWidth="1"/>
    <col min="15305" max="15305" width="2.1796875" style="46" customWidth="1"/>
    <col min="15306" max="15306" width="19" style="46" customWidth="1"/>
    <col min="15307" max="15307" width="37.453125" style="46" customWidth="1"/>
    <col min="15308" max="15397" width="11.453125" style="46" customWidth="1"/>
    <col min="15398" max="15551" width="11.453125" style="46"/>
    <col min="15552" max="15552" width="0" style="46" hidden="1" customWidth="1"/>
    <col min="15553" max="15553" width="9" style="46" customWidth="1"/>
    <col min="15554" max="15554" width="0" style="46" hidden="1" customWidth="1"/>
    <col min="15555" max="15555" width="78" style="46" customWidth="1"/>
    <col min="15556" max="15556" width="14.26953125" style="46" customWidth="1"/>
    <col min="15557" max="15557" width="12.453125" style="46" customWidth="1"/>
    <col min="15558" max="15558" width="19" style="46" customWidth="1"/>
    <col min="15559" max="15559" width="11.26953125" style="46" customWidth="1"/>
    <col min="15560" max="15560" width="19" style="46" customWidth="1"/>
    <col min="15561" max="15561" width="2.1796875" style="46" customWidth="1"/>
    <col min="15562" max="15562" width="19" style="46" customWidth="1"/>
    <col min="15563" max="15563" width="37.453125" style="46" customWidth="1"/>
    <col min="15564" max="15653" width="11.453125" style="46" customWidth="1"/>
    <col min="15654" max="15807" width="11.453125" style="46"/>
    <col min="15808" max="15808" width="0" style="46" hidden="1" customWidth="1"/>
    <col min="15809" max="15809" width="9" style="46" customWidth="1"/>
    <col min="15810" max="15810" width="0" style="46" hidden="1" customWidth="1"/>
    <col min="15811" max="15811" width="78" style="46" customWidth="1"/>
    <col min="15812" max="15812" width="14.26953125" style="46" customWidth="1"/>
    <col min="15813" max="15813" width="12.453125" style="46" customWidth="1"/>
    <col min="15814" max="15814" width="19" style="46" customWidth="1"/>
    <col min="15815" max="15815" width="11.26953125" style="46" customWidth="1"/>
    <col min="15816" max="15816" width="19" style="46" customWidth="1"/>
    <col min="15817" max="15817" width="2.1796875" style="46" customWidth="1"/>
    <col min="15818" max="15818" width="19" style="46" customWidth="1"/>
    <col min="15819" max="15819" width="37.453125" style="46" customWidth="1"/>
    <col min="15820" max="15909" width="11.453125" style="46" customWidth="1"/>
    <col min="15910" max="16063" width="11.453125" style="46"/>
    <col min="16064" max="16064" width="0" style="46" hidden="1" customWidth="1"/>
    <col min="16065" max="16065" width="9" style="46" customWidth="1"/>
    <col min="16066" max="16066" width="0" style="46" hidden="1" customWidth="1"/>
    <col min="16067" max="16067" width="78" style="46" customWidth="1"/>
    <col min="16068" max="16068" width="14.26953125" style="46" customWidth="1"/>
    <col min="16069" max="16069" width="12.453125" style="46" customWidth="1"/>
    <col min="16070" max="16070" width="19" style="46" customWidth="1"/>
    <col min="16071" max="16071" width="11.26953125" style="46" customWidth="1"/>
    <col min="16072" max="16072" width="19" style="46" customWidth="1"/>
    <col min="16073" max="16073" width="2.1796875" style="46" customWidth="1"/>
    <col min="16074" max="16074" width="19" style="46" customWidth="1"/>
    <col min="16075" max="16075" width="37.453125" style="46" customWidth="1"/>
    <col min="16076" max="16165" width="11.453125" style="46" customWidth="1"/>
    <col min="16166" max="16384" width="11.453125" style="46"/>
  </cols>
  <sheetData>
    <row r="1" spans="1:14" customFormat="1" ht="38.25" customHeight="1" thickBot="1">
      <c r="A1" s="39" t="s">
        <v>26</v>
      </c>
      <c r="B1" s="40"/>
      <c r="C1" s="40"/>
      <c r="D1" s="40"/>
      <c r="E1" s="41"/>
      <c r="F1" s="42"/>
      <c r="G1" s="40"/>
      <c r="H1" s="40"/>
      <c r="I1" s="40"/>
      <c r="J1" s="41"/>
      <c r="K1" s="41"/>
      <c r="L1" s="143"/>
      <c r="M1" s="134">
        <f ca="1">TODAY()</f>
        <v>46187</v>
      </c>
    </row>
    <row r="2" spans="1:14" ht="10.15" customHeight="1" thickBot="1">
      <c r="A2" s="44"/>
      <c r="C2" s="46"/>
      <c r="D2" s="46"/>
      <c r="E2" s="46"/>
      <c r="F2" s="46"/>
      <c r="G2" s="46"/>
      <c r="H2" s="46"/>
      <c r="I2" s="46"/>
      <c r="J2" s="46"/>
      <c r="K2" s="46"/>
    </row>
    <row r="3" spans="1:14" ht="23.15" customHeight="1">
      <c r="A3" s="328" t="s">
        <v>27</v>
      </c>
      <c r="B3" s="329">
        <v>1504</v>
      </c>
      <c r="C3" s="320"/>
      <c r="D3" s="321"/>
      <c r="E3" s="322" t="s">
        <v>28</v>
      </c>
      <c r="F3" s="137"/>
      <c r="G3" s="317">
        <v>28198978</v>
      </c>
      <c r="H3" s="48"/>
      <c r="I3" s="48"/>
    </row>
    <row r="4" spans="1:14" ht="23.15" customHeight="1">
      <c r="A4" s="328" t="s">
        <v>29</v>
      </c>
      <c r="B4" s="330" t="s">
        <v>61</v>
      </c>
      <c r="C4" s="323"/>
      <c r="D4" s="324"/>
      <c r="E4" s="325" t="s">
        <v>30</v>
      </c>
      <c r="F4" s="138"/>
      <c r="G4" s="139">
        <f>G38-G5</f>
        <v>862182.74</v>
      </c>
      <c r="H4" s="47"/>
      <c r="I4" s="46"/>
      <c r="J4" s="46"/>
      <c r="K4" s="46"/>
      <c r="L4" s="145"/>
      <c r="M4" s="309" t="s">
        <v>91</v>
      </c>
    </row>
    <row r="5" spans="1:14" ht="23.15" customHeight="1">
      <c r="A5" s="328" t="s">
        <v>31</v>
      </c>
      <c r="B5" s="330" t="s">
        <v>60</v>
      </c>
      <c r="C5" s="323"/>
      <c r="D5" s="324"/>
      <c r="E5" s="325" t="s">
        <v>32</v>
      </c>
      <c r="F5" s="138"/>
      <c r="G5" s="153">
        <f>G17+G25</f>
        <v>249196.2</v>
      </c>
      <c r="H5" s="52"/>
      <c r="I5" s="46"/>
      <c r="J5" s="46"/>
      <c r="K5" s="46"/>
      <c r="L5" s="145"/>
      <c r="M5" s="307" t="s">
        <v>35</v>
      </c>
    </row>
    <row r="6" spans="1:14" ht="23.15" customHeight="1">
      <c r="C6" s="323"/>
      <c r="D6" s="324"/>
      <c r="E6" s="325" t="s">
        <v>33</v>
      </c>
      <c r="F6" s="138"/>
      <c r="G6" s="318">
        <f>SUM(G3:G5)</f>
        <v>29310356.939999998</v>
      </c>
      <c r="H6" s="52"/>
      <c r="I6" s="46"/>
      <c r="J6" s="46"/>
      <c r="K6" s="46"/>
      <c r="L6" s="145"/>
      <c r="M6" s="308" t="s">
        <v>89</v>
      </c>
    </row>
    <row r="7" spans="1:14" ht="23.15" customHeight="1">
      <c r="A7" s="73"/>
      <c r="B7" s="74"/>
      <c r="C7" s="323"/>
      <c r="D7" s="324"/>
      <c r="E7" s="326" t="s">
        <v>34</v>
      </c>
      <c r="F7" s="138"/>
      <c r="G7" s="319">
        <f>E38</f>
        <v>361582.09700000007</v>
      </c>
      <c r="H7" s="52"/>
      <c r="I7" s="46"/>
      <c r="J7" s="46"/>
      <c r="K7" s="46"/>
      <c r="L7" s="145"/>
      <c r="M7" s="310" t="s">
        <v>90</v>
      </c>
    </row>
    <row r="8" spans="1:14" ht="23.15" customHeight="1">
      <c r="A8" s="382"/>
      <c r="B8" s="53"/>
      <c r="C8" s="323"/>
      <c r="D8" s="324"/>
      <c r="E8" s="327" t="s">
        <v>36</v>
      </c>
      <c r="F8" s="138"/>
      <c r="G8" s="139">
        <f>F38</f>
        <v>0</v>
      </c>
      <c r="H8" s="52"/>
      <c r="I8" s="46"/>
      <c r="J8" s="46"/>
      <c r="K8" s="46"/>
      <c r="L8" s="145"/>
      <c r="M8" s="46"/>
    </row>
    <row r="9" spans="1:14" ht="23.15" customHeight="1" thickBot="1">
      <c r="A9" s="382"/>
      <c r="C9" s="54"/>
      <c r="D9" s="55"/>
      <c r="E9" s="56" t="s">
        <v>38</v>
      </c>
      <c r="F9" s="140"/>
      <c r="G9" s="141">
        <f>SUM(G6:G8)</f>
        <v>29671939.036999997</v>
      </c>
      <c r="H9" s="52"/>
      <c r="I9" s="46"/>
      <c r="J9" s="46"/>
      <c r="K9" s="46"/>
      <c r="L9" s="145"/>
      <c r="M9" s="46"/>
    </row>
    <row r="10" spans="1:14" ht="23.15" customHeight="1">
      <c r="A10" s="382"/>
      <c r="C10" s="49"/>
      <c r="D10" s="49"/>
      <c r="E10" s="117"/>
      <c r="F10" s="118"/>
      <c r="G10" s="57"/>
      <c r="H10" s="52"/>
      <c r="I10" s="46"/>
      <c r="J10" s="46"/>
      <c r="K10" s="46"/>
      <c r="L10" s="145"/>
      <c r="M10" s="46"/>
    </row>
    <row r="11" spans="1:14" ht="11.25" customHeight="1" thickBot="1">
      <c r="A11" s="49"/>
      <c r="B11" s="53"/>
      <c r="C11" s="52"/>
      <c r="D11" s="52"/>
      <c r="E11" s="52"/>
      <c r="F11" s="52"/>
      <c r="G11" s="52"/>
      <c r="H11" s="52"/>
      <c r="I11" s="46"/>
      <c r="J11" s="46"/>
      <c r="K11" s="46"/>
      <c r="L11" s="145"/>
      <c r="M11" s="46"/>
    </row>
    <row r="12" spans="1:14" s="59" customFormat="1" ht="33.75" customHeight="1" thickBot="1">
      <c r="A12" s="125" t="s">
        <v>39</v>
      </c>
      <c r="B12" s="126" t="s">
        <v>40</v>
      </c>
      <c r="C12" s="127" t="s">
        <v>41</v>
      </c>
      <c r="D12" s="128" t="s">
        <v>42</v>
      </c>
      <c r="E12" s="129" t="s">
        <v>43</v>
      </c>
      <c r="F12" s="130" t="s">
        <v>44</v>
      </c>
      <c r="G12" s="131" t="s">
        <v>45</v>
      </c>
      <c r="H12" s="132" t="s">
        <v>46</v>
      </c>
      <c r="I12" s="133" t="s">
        <v>36</v>
      </c>
      <c r="J12" s="131" t="s">
        <v>47</v>
      </c>
      <c r="K12" s="132" t="s">
        <v>48</v>
      </c>
      <c r="L12" s="126" t="s">
        <v>49</v>
      </c>
      <c r="M12" s="126" t="s">
        <v>50</v>
      </c>
    </row>
    <row r="13" spans="1:14" ht="28.9" customHeight="1">
      <c r="A13" s="60">
        <v>1</v>
      </c>
      <c r="B13" s="336" t="str">
        <f>'VO1'!B11</f>
        <v>VO1 - Wet Fire Variation to Ground Floor</v>
      </c>
      <c r="C13" s="349">
        <v>45882</v>
      </c>
      <c r="D13" s="176">
        <f>'VO1'!F26</f>
        <v>71159</v>
      </c>
      <c r="E13" s="123">
        <f>D13-G13</f>
        <v>0</v>
      </c>
      <c r="F13" s="306">
        <f>D13-G13-E13</f>
        <v>0</v>
      </c>
      <c r="G13" s="135">
        <v>71159</v>
      </c>
      <c r="H13" s="80"/>
      <c r="I13" s="80"/>
      <c r="J13" s="81"/>
      <c r="K13" s="351" t="s">
        <v>35</v>
      </c>
      <c r="L13" s="146" t="s">
        <v>51</v>
      </c>
      <c r="M13" s="66" t="s">
        <v>52</v>
      </c>
      <c r="N13" s="59"/>
    </row>
    <row r="14" spans="1:14" ht="28.9" customHeight="1">
      <c r="A14" s="60">
        <v>2</v>
      </c>
      <c r="B14" s="336" t="str">
        <f>'VO2'!B11</f>
        <v>VO2 -  Upgrade to 50 dia supply Water to Ground floor</v>
      </c>
      <c r="C14" s="349">
        <v>45882</v>
      </c>
      <c r="D14" s="176">
        <f>'VO2'!F21</f>
        <v>25795</v>
      </c>
      <c r="E14" s="123">
        <f t="shared" ref="E14:E20" si="0">D14-G14</f>
        <v>0</v>
      </c>
      <c r="F14" s="306">
        <f t="shared" ref="F14:F20" si="1">D14-G14-E14</f>
        <v>0</v>
      </c>
      <c r="G14" s="135">
        <v>25795</v>
      </c>
      <c r="H14" s="75"/>
      <c r="I14" s="75"/>
      <c r="J14" s="76"/>
      <c r="K14" s="351" t="s">
        <v>35</v>
      </c>
      <c r="L14" s="146" t="s">
        <v>51</v>
      </c>
      <c r="M14" s="66" t="s">
        <v>52</v>
      </c>
      <c r="N14" s="59"/>
    </row>
    <row r="15" spans="1:14" ht="28.9" customHeight="1">
      <c r="A15" s="60">
        <v>3</v>
      </c>
      <c r="B15" s="336" t="str">
        <f>'VO3'!B11</f>
        <v xml:space="preserve">VO3 - Earthworks - additional backfill &amp; testing </v>
      </c>
      <c r="C15" s="349">
        <v>45882</v>
      </c>
      <c r="D15" s="176">
        <f>'VO3'!F21</f>
        <v>76780</v>
      </c>
      <c r="E15" s="123">
        <f t="shared" si="0"/>
        <v>0</v>
      </c>
      <c r="F15" s="306">
        <f t="shared" si="1"/>
        <v>0</v>
      </c>
      <c r="G15" s="135">
        <v>76780</v>
      </c>
      <c r="H15" s="75"/>
      <c r="I15" s="75"/>
      <c r="J15" s="76"/>
      <c r="K15" s="351" t="s">
        <v>35</v>
      </c>
      <c r="L15" s="146" t="s">
        <v>51</v>
      </c>
      <c r="M15" s="66" t="s">
        <v>52</v>
      </c>
      <c r="N15" s="59"/>
    </row>
    <row r="16" spans="1:14" ht="28.9" customHeight="1">
      <c r="A16" s="60">
        <v>4</v>
      </c>
      <c r="B16" s="337" t="str">
        <f>'VO4'!B11</f>
        <v>VO4 - Site Amenities - Lease</v>
      </c>
      <c r="C16" s="349">
        <v>45882</v>
      </c>
      <c r="D16" s="176">
        <f>'VO4'!F21</f>
        <v>330000</v>
      </c>
      <c r="E16" s="123">
        <f t="shared" si="0"/>
        <v>0</v>
      </c>
      <c r="F16" s="306">
        <f t="shared" si="1"/>
        <v>0</v>
      </c>
      <c r="G16" s="135">
        <v>330000</v>
      </c>
      <c r="H16" s="75"/>
      <c r="I16" s="75"/>
      <c r="J16" s="76"/>
      <c r="K16" s="351" t="s">
        <v>35</v>
      </c>
      <c r="L16" s="146" t="s">
        <v>51</v>
      </c>
      <c r="M16" s="66" t="s">
        <v>52</v>
      </c>
      <c r="N16" s="59"/>
    </row>
    <row r="17" spans="1:14" ht="28.9" customHeight="1">
      <c r="A17" s="60">
        <v>5</v>
      </c>
      <c r="B17" s="337" t="str">
        <f>'VO5'!B11</f>
        <v>VO5 - Fire Services IFC Updates</v>
      </c>
      <c r="C17" s="349">
        <v>45882</v>
      </c>
      <c r="D17" s="176">
        <f>'VO5'!F20</f>
        <v>18249</v>
      </c>
      <c r="E17" s="123">
        <f t="shared" si="0"/>
        <v>0</v>
      </c>
      <c r="F17" s="306">
        <f t="shared" si="1"/>
        <v>0</v>
      </c>
      <c r="G17" s="135">
        <v>18249</v>
      </c>
      <c r="H17" s="75"/>
      <c r="I17" s="75"/>
      <c r="J17" s="76"/>
      <c r="K17" s="351" t="s">
        <v>35</v>
      </c>
      <c r="L17" s="146" t="s">
        <v>51</v>
      </c>
      <c r="M17" s="66" t="s">
        <v>52</v>
      </c>
      <c r="N17" s="59"/>
    </row>
    <row r="18" spans="1:14" ht="28.9" customHeight="1">
      <c r="A18" s="60">
        <v>6</v>
      </c>
      <c r="B18" s="337" t="str">
        <f>'VO6'!B11</f>
        <v>VO6 - Tilt up panel design from Design Development to IFC</v>
      </c>
      <c r="C18" s="350">
        <v>45971</v>
      </c>
      <c r="D18" s="176">
        <f>'VO6'!F24</f>
        <v>47058</v>
      </c>
      <c r="E18" s="123">
        <f t="shared" si="0"/>
        <v>0</v>
      </c>
      <c r="F18" s="306">
        <f t="shared" si="1"/>
        <v>0</v>
      </c>
      <c r="G18" s="135">
        <v>47058</v>
      </c>
      <c r="H18" s="75"/>
      <c r="I18" s="75"/>
      <c r="J18" s="76"/>
      <c r="K18" s="353" t="s">
        <v>141</v>
      </c>
      <c r="L18" s="146" t="s">
        <v>51</v>
      </c>
      <c r="M18" s="66" t="s">
        <v>52</v>
      </c>
      <c r="N18" s="59"/>
    </row>
    <row r="19" spans="1:14" ht="28.9" customHeight="1">
      <c r="A19" s="60">
        <v>7</v>
      </c>
      <c r="B19" s="337" t="str">
        <f>'VO7'!$B11</f>
        <v>VO7 - Panel rigging extra over from Design Development to IFC changes</v>
      </c>
      <c r="C19" s="350">
        <v>45972</v>
      </c>
      <c r="D19" s="176">
        <v>38392</v>
      </c>
      <c r="E19" s="123">
        <f t="shared" si="0"/>
        <v>0</v>
      </c>
      <c r="F19" s="306">
        <f t="shared" si="1"/>
        <v>0</v>
      </c>
      <c r="G19" s="135">
        <v>38392</v>
      </c>
      <c r="H19" s="75"/>
      <c r="I19" s="75"/>
      <c r="J19" s="76"/>
      <c r="K19" s="353" t="s">
        <v>141</v>
      </c>
      <c r="L19" s="146" t="s">
        <v>51</v>
      </c>
      <c r="M19" s="66" t="s">
        <v>52</v>
      </c>
      <c r="N19" s="59"/>
    </row>
    <row r="20" spans="1:14" ht="28.9" customHeight="1">
      <c r="A20" s="60">
        <v>8</v>
      </c>
      <c r="B20" s="337" t="str">
        <f>'VO8'!$B11</f>
        <v>VO8 - Additional waterproofing to lift pit and top of slab</v>
      </c>
      <c r="C20" s="350">
        <v>45993</v>
      </c>
      <c r="D20" s="176">
        <f>'VO8'!F21</f>
        <v>12688.5</v>
      </c>
      <c r="E20" s="123">
        <f t="shared" si="0"/>
        <v>0</v>
      </c>
      <c r="F20" s="306">
        <f t="shared" si="1"/>
        <v>0</v>
      </c>
      <c r="G20" s="123">
        <v>12688.5</v>
      </c>
      <c r="H20" s="75"/>
      <c r="I20" s="75"/>
      <c r="J20" s="76"/>
      <c r="K20" s="351" t="s">
        <v>35</v>
      </c>
      <c r="L20" s="146" t="s">
        <v>51</v>
      </c>
      <c r="M20" s="66" t="s">
        <v>52</v>
      </c>
      <c r="N20" s="59"/>
    </row>
    <row r="21" spans="1:14" ht="28.9" customHeight="1">
      <c r="A21" s="60">
        <v>9</v>
      </c>
      <c r="B21" s="337" t="str">
        <f>'VO9'!$B11</f>
        <v>VO9 - Electrical Design Changes from Design to IFC</v>
      </c>
      <c r="C21" s="350">
        <v>46087</v>
      </c>
      <c r="D21" s="176">
        <f>'VO9'!F20</f>
        <v>10631.5</v>
      </c>
      <c r="E21" s="176">
        <v>10631.5</v>
      </c>
      <c r="F21" s="306">
        <f t="shared" ref="F21:F26" si="2">D21-G21-E21</f>
        <v>0</v>
      </c>
      <c r="G21" s="135">
        <v>0</v>
      </c>
      <c r="H21" s="75"/>
      <c r="I21" s="75"/>
      <c r="J21" s="76"/>
      <c r="K21" s="352" t="s">
        <v>88</v>
      </c>
      <c r="L21" s="146" t="s">
        <v>51</v>
      </c>
      <c r="M21" s="66"/>
      <c r="N21" s="59"/>
    </row>
    <row r="22" spans="1:14" ht="28.9" customHeight="1">
      <c r="A22" s="60">
        <v>10</v>
      </c>
      <c r="B22" s="337" t="str">
        <f>'VO10'!B11</f>
        <v>VO10 - Mechanical Design Changes Design  to IFC (Provisional)</v>
      </c>
      <c r="C22" s="350">
        <v>46087</v>
      </c>
      <c r="D22" s="176" t="s">
        <v>128</v>
      </c>
      <c r="E22" s="176" t="s">
        <v>128</v>
      </c>
      <c r="F22" s="306" t="s">
        <v>128</v>
      </c>
      <c r="G22" s="135">
        <v>0</v>
      </c>
      <c r="H22" s="75"/>
      <c r="I22" s="75"/>
      <c r="J22" s="76"/>
      <c r="K22" s="352" t="s">
        <v>88</v>
      </c>
      <c r="L22" s="146" t="s">
        <v>51</v>
      </c>
      <c r="M22" s="66"/>
      <c r="N22" s="59"/>
    </row>
    <row r="23" spans="1:14" ht="28.9" customHeight="1">
      <c r="A23" s="60">
        <v>11</v>
      </c>
      <c r="B23" s="337" t="str">
        <f>'VO11'!$B11</f>
        <v>VO11 - Extra over cost for  Car Stackers Prov Sum to Updated Design</v>
      </c>
      <c r="C23" s="350">
        <v>46087</v>
      </c>
      <c r="D23" s="176">
        <f>'VO11'!F44</f>
        <v>169400</v>
      </c>
      <c r="E23" s="176">
        <f>D23</f>
        <v>169400</v>
      </c>
      <c r="F23" s="306">
        <f t="shared" si="2"/>
        <v>0</v>
      </c>
      <c r="G23" s="135">
        <v>0</v>
      </c>
      <c r="H23" s="75"/>
      <c r="I23" s="75"/>
      <c r="J23" s="76"/>
      <c r="K23" s="352" t="s">
        <v>88</v>
      </c>
      <c r="L23" s="146" t="s">
        <v>51</v>
      </c>
      <c r="M23" s="66"/>
      <c r="N23" s="149"/>
    </row>
    <row r="24" spans="1:14" ht="28.9" customHeight="1">
      <c r="A24" s="60">
        <v>12</v>
      </c>
      <c r="B24" s="336" t="str">
        <f>'VO12'!$B11</f>
        <v>VO12 - Concrete and Reo extras from Design to IFC Drawings</v>
      </c>
      <c r="C24" s="350">
        <v>46087</v>
      </c>
      <c r="D24" s="177">
        <f>'VO12'!F23</f>
        <v>260310.23700000002</v>
      </c>
      <c r="E24" s="123">
        <f t="shared" ref="E24" si="3">D24-G24</f>
        <v>-2.9999999678693712E-3</v>
      </c>
      <c r="F24" s="306">
        <f t="shared" ref="F24" si="4">D24-G24-E24</f>
        <v>0</v>
      </c>
      <c r="G24" s="123">
        <v>260310.24</v>
      </c>
      <c r="H24" s="75"/>
      <c r="I24" s="75"/>
      <c r="J24" s="76"/>
      <c r="K24" s="351" t="s">
        <v>35</v>
      </c>
      <c r="L24" s="146" t="s">
        <v>51</v>
      </c>
      <c r="M24" s="66" t="s">
        <v>142</v>
      </c>
      <c r="N24" s="149"/>
    </row>
    <row r="25" spans="1:14" ht="28.9" customHeight="1">
      <c r="A25" s="60">
        <v>13</v>
      </c>
      <c r="B25" s="336" t="str">
        <f>'VO13'!$B11</f>
        <v>VO13 - Buildability Issue and Latent Ground Conditions</v>
      </c>
      <c r="C25" s="350">
        <v>46087</v>
      </c>
      <c r="D25" s="177">
        <f>'VO13'!F23</f>
        <v>230947.20000000001</v>
      </c>
      <c r="E25" s="123">
        <f t="shared" ref="E25" si="5">D25-G25</f>
        <v>0</v>
      </c>
      <c r="F25" s="306">
        <f t="shared" si="2"/>
        <v>0</v>
      </c>
      <c r="G25" s="123">
        <v>230947.20000000001</v>
      </c>
      <c r="H25" s="75"/>
      <c r="I25" s="75"/>
      <c r="J25" s="76"/>
      <c r="K25" s="351" t="s">
        <v>35</v>
      </c>
      <c r="L25" s="146" t="s">
        <v>51</v>
      </c>
      <c r="M25" s="66" t="s">
        <v>142</v>
      </c>
      <c r="N25" s="149"/>
    </row>
    <row r="26" spans="1:14" ht="28.9" customHeight="1">
      <c r="A26" s="60">
        <v>14</v>
      </c>
      <c r="B26" s="336" t="str">
        <f>'VO14'!B11</f>
        <v>VO14 - Client Upgrade Items as per Schedule</v>
      </c>
      <c r="C26" s="350">
        <f ca="1">'VO14'!G6</f>
        <v>46187</v>
      </c>
      <c r="D26" s="177">
        <f>'VO14'!F62</f>
        <v>181550.6</v>
      </c>
      <c r="E26" s="123">
        <f>D26</f>
        <v>181550.6</v>
      </c>
      <c r="F26" s="306">
        <f t="shared" si="2"/>
        <v>0</v>
      </c>
      <c r="G26" s="135">
        <v>0</v>
      </c>
      <c r="H26" s="75"/>
      <c r="I26" s="75"/>
      <c r="J26" s="76"/>
      <c r="K26" s="352" t="s">
        <v>88</v>
      </c>
      <c r="L26" s="146" t="s">
        <v>51</v>
      </c>
      <c r="M26" s="66"/>
      <c r="N26" s="149"/>
    </row>
    <row r="27" spans="1:14" ht="28.9" customHeight="1">
      <c r="A27" s="60">
        <v>15</v>
      </c>
      <c r="B27" s="336" t="str">
        <f>'VO15'!B11</f>
        <v>VO15 - Extra over grout and reinforcememt to precat panel base 100mm</v>
      </c>
      <c r="C27" s="350">
        <f ca="1">'VO15'!G6</f>
        <v>46187</v>
      </c>
      <c r="D27" s="177">
        <f>'VO15'!F22</f>
        <v>0</v>
      </c>
      <c r="E27" s="123">
        <f t="shared" ref="E27:E28" si="6">D27</f>
        <v>0</v>
      </c>
      <c r="F27" s="306">
        <f t="shared" ref="F27:F28" si="7">D27-G27-E27</f>
        <v>0</v>
      </c>
      <c r="G27" s="135">
        <v>0</v>
      </c>
      <c r="H27" s="75"/>
      <c r="I27" s="75"/>
      <c r="J27" s="76"/>
      <c r="K27" s="352"/>
      <c r="L27" s="146" t="s">
        <v>51</v>
      </c>
      <c r="M27" s="66"/>
      <c r="N27" s="149"/>
    </row>
    <row r="28" spans="1:14" ht="28.9" customHeight="1">
      <c r="A28" s="60">
        <v>16</v>
      </c>
      <c r="B28" s="336" t="str">
        <f>'VO16'!B11</f>
        <v>VO16 - Extra monorail on ground floor</v>
      </c>
      <c r="C28" s="350">
        <f ca="1">'VO16'!G6</f>
        <v>46187</v>
      </c>
      <c r="D28" s="177">
        <f>'VO16'!F22</f>
        <v>0</v>
      </c>
      <c r="E28" s="123">
        <f t="shared" si="6"/>
        <v>0</v>
      </c>
      <c r="F28" s="306">
        <f t="shared" si="7"/>
        <v>0</v>
      </c>
      <c r="G28" s="135">
        <v>0</v>
      </c>
      <c r="H28" s="75"/>
      <c r="I28" s="75"/>
      <c r="J28" s="76"/>
      <c r="K28" s="352"/>
      <c r="L28" s="146" t="s">
        <v>51</v>
      </c>
      <c r="M28" s="66"/>
      <c r="N28" s="149"/>
    </row>
    <row r="29" spans="1:14" ht="28.9" customHeight="1">
      <c r="A29" s="60">
        <v>17</v>
      </c>
      <c r="B29" s="336"/>
      <c r="C29" s="350"/>
      <c r="D29" s="190"/>
      <c r="E29" s="124"/>
      <c r="F29" s="121"/>
      <c r="G29" s="135"/>
      <c r="H29" s="75"/>
      <c r="I29" s="75"/>
      <c r="J29" s="76"/>
      <c r="K29" s="77"/>
      <c r="L29" s="142"/>
      <c r="M29" s="199"/>
      <c r="N29" s="149"/>
    </row>
    <row r="30" spans="1:14" ht="28.9" customHeight="1">
      <c r="A30" s="60">
        <v>18</v>
      </c>
      <c r="B30" s="336"/>
      <c r="C30" s="350"/>
      <c r="D30" s="177"/>
      <c r="E30" s="123"/>
      <c r="F30" s="121"/>
      <c r="G30" s="135"/>
      <c r="H30" s="75"/>
      <c r="I30" s="75"/>
      <c r="J30" s="76"/>
      <c r="K30" s="77"/>
      <c r="L30" s="142"/>
      <c r="M30" s="66"/>
      <c r="N30" s="149"/>
    </row>
    <row r="31" spans="1:14" ht="28.9" customHeight="1">
      <c r="A31" s="60">
        <v>19</v>
      </c>
      <c r="B31" s="336"/>
      <c r="C31" s="350"/>
      <c r="D31" s="177"/>
      <c r="E31" s="123"/>
      <c r="F31" s="121"/>
      <c r="G31" s="135"/>
      <c r="H31" s="75"/>
      <c r="I31" s="75"/>
      <c r="J31" s="76"/>
      <c r="K31" s="77"/>
      <c r="L31" s="142"/>
      <c r="M31" s="66"/>
      <c r="N31" s="149"/>
    </row>
    <row r="32" spans="1:14" ht="28.9" customHeight="1">
      <c r="A32" s="60">
        <v>20</v>
      </c>
      <c r="B32" s="336"/>
      <c r="C32" s="350"/>
      <c r="D32" s="177"/>
      <c r="E32" s="123"/>
      <c r="F32" s="177"/>
      <c r="G32" s="135"/>
      <c r="H32" s="75"/>
      <c r="I32" s="75"/>
      <c r="J32" s="76"/>
      <c r="K32" s="77"/>
      <c r="L32" s="142"/>
      <c r="M32" s="66"/>
      <c r="N32" s="149"/>
    </row>
    <row r="33" spans="1:14" ht="28.9" customHeight="1">
      <c r="A33" s="60">
        <v>21</v>
      </c>
      <c r="B33" s="336"/>
      <c r="C33" s="350"/>
      <c r="D33" s="177"/>
      <c r="E33" s="123"/>
      <c r="F33" s="177"/>
      <c r="G33" s="135"/>
      <c r="H33" s="75"/>
      <c r="I33" s="75"/>
      <c r="J33" s="76"/>
      <c r="K33" s="77"/>
      <c r="L33" s="142"/>
      <c r="M33" s="66"/>
      <c r="N33" s="149"/>
    </row>
    <row r="34" spans="1:14" ht="28.9" customHeight="1">
      <c r="A34" s="311">
        <v>22</v>
      </c>
      <c r="B34" s="336"/>
      <c r="C34" s="350"/>
      <c r="D34" s="177"/>
      <c r="E34" s="123"/>
      <c r="F34" s="208"/>
      <c r="G34" s="177"/>
      <c r="H34" s="75"/>
      <c r="I34" s="75"/>
      <c r="J34" s="76"/>
      <c r="K34" s="77"/>
      <c r="L34" s="142"/>
      <c r="M34" s="66"/>
      <c r="N34" s="149"/>
    </row>
    <row r="35" spans="1:14" ht="28.9" customHeight="1">
      <c r="A35" s="60">
        <v>23</v>
      </c>
      <c r="B35" s="336"/>
      <c r="C35" s="350"/>
      <c r="D35" s="177"/>
      <c r="E35" s="123"/>
      <c r="F35" s="208"/>
      <c r="G35" s="135"/>
      <c r="H35" s="75"/>
      <c r="I35" s="75"/>
      <c r="J35" s="76"/>
      <c r="K35" s="77"/>
      <c r="L35" s="142"/>
      <c r="M35" s="66"/>
      <c r="N35" s="149"/>
    </row>
    <row r="36" spans="1:14" ht="28.9" customHeight="1">
      <c r="A36" s="60"/>
      <c r="B36" s="61"/>
      <c r="C36" s="350"/>
      <c r="D36" s="177"/>
      <c r="E36" s="123"/>
      <c r="F36" s="121"/>
      <c r="G36" s="62"/>
      <c r="H36" s="75"/>
      <c r="I36" s="75"/>
      <c r="J36" s="76"/>
      <c r="K36" s="77"/>
      <c r="L36" s="142"/>
      <c r="M36" s="66"/>
      <c r="N36" s="149"/>
    </row>
    <row r="37" spans="1:14" ht="27.75" customHeight="1">
      <c r="A37" s="60"/>
      <c r="B37" s="61"/>
      <c r="C37" s="350"/>
      <c r="D37" s="78"/>
      <c r="E37" s="124"/>
      <c r="F37" s="120"/>
      <c r="G37" s="62"/>
      <c r="H37" s="63"/>
      <c r="I37" s="63"/>
      <c r="J37" s="64"/>
      <c r="K37" s="65"/>
      <c r="L37" s="142"/>
      <c r="M37" s="66"/>
      <c r="N37" s="149"/>
    </row>
    <row r="38" spans="1:14" s="116" customFormat="1" ht="24" customHeight="1">
      <c r="A38" s="60"/>
      <c r="B38" s="113" t="s">
        <v>53</v>
      </c>
      <c r="C38" s="122"/>
      <c r="D38" s="119">
        <f>SUM(D13:D37)</f>
        <v>1472961.037</v>
      </c>
      <c r="E38" s="207">
        <f>SUM(E13:E37)</f>
        <v>361582.09700000007</v>
      </c>
      <c r="F38" s="147">
        <f>SUM(F13:F37)</f>
        <v>0</v>
      </c>
      <c r="G38" s="148">
        <f>SUM(G13:G37)</f>
        <v>1111378.94</v>
      </c>
      <c r="H38" s="114">
        <f t="shared" ref="H38:I38" si="8">SUM(H13:H37)</f>
        <v>0</v>
      </c>
      <c r="I38" s="114">
        <f t="shared" si="8"/>
        <v>0</v>
      </c>
      <c r="J38" s="79"/>
      <c r="K38" s="65"/>
      <c r="L38" s="200">
        <f>G13+G15+G17+G23+G25+G27+G28+G29</f>
        <v>397135.2</v>
      </c>
      <c r="M38" s="115"/>
    </row>
    <row r="39" spans="1:14" ht="24" customHeight="1">
      <c r="A39" s="58"/>
      <c r="B39" s="67"/>
      <c r="C39" s="68"/>
      <c r="D39" s="201"/>
      <c r="E39" s="178"/>
      <c r="F39" s="179"/>
      <c r="G39" s="46"/>
      <c r="H39" s="69"/>
      <c r="I39" s="69"/>
      <c r="J39" s="51"/>
      <c r="K39" s="51"/>
      <c r="L39" s="204">
        <f>L38</f>
        <v>397135.2</v>
      </c>
      <c r="M39" s="205" t="s">
        <v>51</v>
      </c>
    </row>
    <row r="40" spans="1:14" ht="13" thickBot="1">
      <c r="L40" s="202">
        <f>G38-L38</f>
        <v>714243.74</v>
      </c>
      <c r="M40" s="205" t="s">
        <v>54</v>
      </c>
    </row>
    <row r="41" spans="1:14" ht="13.5" thickBot="1">
      <c r="L41" s="203">
        <f>SUM(L39:L40)</f>
        <v>1111378.94</v>
      </c>
    </row>
    <row r="42" spans="1:14" ht="13" thickBot="1">
      <c r="L42" s="202">
        <f>G3</f>
        <v>28198978</v>
      </c>
      <c r="M42" s="45" t="s">
        <v>55</v>
      </c>
    </row>
    <row r="43" spans="1:14" ht="13.5" thickBot="1">
      <c r="L43" s="206">
        <f>L41+L42</f>
        <v>29310356.940000001</v>
      </c>
      <c r="M43" s="46" t="s">
        <v>56</v>
      </c>
    </row>
    <row r="44" spans="1:14">
      <c r="L44" s="202">
        <f>G9</f>
        <v>29671939.036999997</v>
      </c>
      <c r="M44" s="46" t="s">
        <v>57</v>
      </c>
    </row>
  </sheetData>
  <phoneticPr fontId="33" type="noConversion"/>
  <dataValidations count="1">
    <dataValidation type="list" allowBlank="1" showInputMessage="1" showErrorMessage="1" sqref="K29:K38" xr:uid="{F8454863-77EB-4604-9B99-BF440229ABE3}">
      <formula1>#REF!</formula1>
    </dataValidation>
  </dataValidations>
  <pageMargins left="0.25" right="0.25" top="0.75" bottom="0.75" header="0.3" footer="0.3"/>
  <pageSetup paperSize="9" scale="47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266F-DF7C-4BB0-B63F-440024749BED}">
  <sheetPr>
    <pageSetUpPr fitToPage="1"/>
  </sheetPr>
  <dimension ref="A1:J25"/>
  <sheetViews>
    <sheetView zoomScale="85" zoomScaleNormal="85" workbookViewId="0">
      <selection activeCell="J12" sqref="J12"/>
    </sheetView>
  </sheetViews>
  <sheetFormatPr defaultColWidth="11.453125" defaultRowHeight="12.5"/>
  <cols>
    <col min="1" max="1" width="9" style="43" customWidth="1"/>
    <col min="2" max="2" width="73.1796875" style="45" customWidth="1"/>
    <col min="3" max="5" width="20.1796875" style="70" customWidth="1"/>
    <col min="6" max="6" width="13.26953125" style="72" customWidth="1"/>
    <col min="7" max="7" width="39.1796875" style="144" customWidth="1"/>
    <col min="8" max="9" width="11.453125" style="46" customWidth="1"/>
    <col min="10" max="10" width="12.7265625" style="46" bestFit="1" customWidth="1"/>
    <col min="11" max="20" width="11.453125" style="46" customWidth="1"/>
    <col min="21" max="174" width="11.453125" style="46"/>
    <col min="175" max="175" width="0" style="46" hidden="1" customWidth="1"/>
    <col min="176" max="176" width="9" style="46" customWidth="1"/>
    <col min="177" max="177" width="0" style="46" hidden="1" customWidth="1"/>
    <col min="178" max="178" width="78" style="46" customWidth="1"/>
    <col min="179" max="179" width="14.26953125" style="46" customWidth="1"/>
    <col min="180" max="180" width="12.453125" style="46" customWidth="1"/>
    <col min="181" max="181" width="19" style="46" customWidth="1"/>
    <col min="182" max="182" width="11.26953125" style="46" customWidth="1"/>
    <col min="183" max="183" width="19" style="46" customWidth="1"/>
    <col min="184" max="184" width="2.1796875" style="46" customWidth="1"/>
    <col min="185" max="185" width="19" style="46" customWidth="1"/>
    <col min="186" max="186" width="37.453125" style="46" customWidth="1"/>
    <col min="187" max="276" width="11.453125" style="46" customWidth="1"/>
    <col min="277" max="430" width="11.453125" style="46"/>
    <col min="431" max="431" width="0" style="46" hidden="1" customWidth="1"/>
    <col min="432" max="432" width="9" style="46" customWidth="1"/>
    <col min="433" max="433" width="0" style="46" hidden="1" customWidth="1"/>
    <col min="434" max="434" width="78" style="46" customWidth="1"/>
    <col min="435" max="435" width="14.26953125" style="46" customWidth="1"/>
    <col min="436" max="436" width="12.453125" style="46" customWidth="1"/>
    <col min="437" max="437" width="19" style="46" customWidth="1"/>
    <col min="438" max="438" width="11.26953125" style="46" customWidth="1"/>
    <col min="439" max="439" width="19" style="46" customWidth="1"/>
    <col min="440" max="440" width="2.1796875" style="46" customWidth="1"/>
    <col min="441" max="441" width="19" style="46" customWidth="1"/>
    <col min="442" max="442" width="37.453125" style="46" customWidth="1"/>
    <col min="443" max="532" width="11.453125" style="46" customWidth="1"/>
    <col min="533" max="686" width="11.453125" style="46"/>
    <col min="687" max="687" width="0" style="46" hidden="1" customWidth="1"/>
    <col min="688" max="688" width="9" style="46" customWidth="1"/>
    <col min="689" max="689" width="0" style="46" hidden="1" customWidth="1"/>
    <col min="690" max="690" width="78" style="46" customWidth="1"/>
    <col min="691" max="691" width="14.26953125" style="46" customWidth="1"/>
    <col min="692" max="692" width="12.453125" style="46" customWidth="1"/>
    <col min="693" max="693" width="19" style="46" customWidth="1"/>
    <col min="694" max="694" width="11.26953125" style="46" customWidth="1"/>
    <col min="695" max="695" width="19" style="46" customWidth="1"/>
    <col min="696" max="696" width="2.1796875" style="46" customWidth="1"/>
    <col min="697" max="697" width="19" style="46" customWidth="1"/>
    <col min="698" max="698" width="37.453125" style="46" customWidth="1"/>
    <col min="699" max="788" width="11.453125" style="46" customWidth="1"/>
    <col min="789" max="942" width="11.453125" style="46"/>
    <col min="943" max="943" width="0" style="46" hidden="1" customWidth="1"/>
    <col min="944" max="944" width="9" style="46" customWidth="1"/>
    <col min="945" max="945" width="0" style="46" hidden="1" customWidth="1"/>
    <col min="946" max="946" width="78" style="46" customWidth="1"/>
    <col min="947" max="947" width="14.26953125" style="46" customWidth="1"/>
    <col min="948" max="948" width="12.453125" style="46" customWidth="1"/>
    <col min="949" max="949" width="19" style="46" customWidth="1"/>
    <col min="950" max="950" width="11.26953125" style="46" customWidth="1"/>
    <col min="951" max="951" width="19" style="46" customWidth="1"/>
    <col min="952" max="952" width="2.1796875" style="46" customWidth="1"/>
    <col min="953" max="953" width="19" style="46" customWidth="1"/>
    <col min="954" max="954" width="37.453125" style="46" customWidth="1"/>
    <col min="955" max="1044" width="11.453125" style="46" customWidth="1"/>
    <col min="1045" max="1198" width="11.453125" style="46"/>
    <col min="1199" max="1199" width="0" style="46" hidden="1" customWidth="1"/>
    <col min="1200" max="1200" width="9" style="46" customWidth="1"/>
    <col min="1201" max="1201" width="0" style="46" hidden="1" customWidth="1"/>
    <col min="1202" max="1202" width="78" style="46" customWidth="1"/>
    <col min="1203" max="1203" width="14.26953125" style="46" customWidth="1"/>
    <col min="1204" max="1204" width="12.453125" style="46" customWidth="1"/>
    <col min="1205" max="1205" width="19" style="46" customWidth="1"/>
    <col min="1206" max="1206" width="11.26953125" style="46" customWidth="1"/>
    <col min="1207" max="1207" width="19" style="46" customWidth="1"/>
    <col min="1208" max="1208" width="2.1796875" style="46" customWidth="1"/>
    <col min="1209" max="1209" width="19" style="46" customWidth="1"/>
    <col min="1210" max="1210" width="37.453125" style="46" customWidth="1"/>
    <col min="1211" max="1300" width="11.453125" style="46" customWidth="1"/>
    <col min="1301" max="1454" width="11.453125" style="46"/>
    <col min="1455" max="1455" width="0" style="46" hidden="1" customWidth="1"/>
    <col min="1456" max="1456" width="9" style="46" customWidth="1"/>
    <col min="1457" max="1457" width="0" style="46" hidden="1" customWidth="1"/>
    <col min="1458" max="1458" width="78" style="46" customWidth="1"/>
    <col min="1459" max="1459" width="14.26953125" style="46" customWidth="1"/>
    <col min="1460" max="1460" width="12.453125" style="46" customWidth="1"/>
    <col min="1461" max="1461" width="19" style="46" customWidth="1"/>
    <col min="1462" max="1462" width="11.26953125" style="46" customWidth="1"/>
    <col min="1463" max="1463" width="19" style="46" customWidth="1"/>
    <col min="1464" max="1464" width="2.1796875" style="46" customWidth="1"/>
    <col min="1465" max="1465" width="19" style="46" customWidth="1"/>
    <col min="1466" max="1466" width="37.453125" style="46" customWidth="1"/>
    <col min="1467" max="1556" width="11.453125" style="46" customWidth="1"/>
    <col min="1557" max="1710" width="11.453125" style="46"/>
    <col min="1711" max="1711" width="0" style="46" hidden="1" customWidth="1"/>
    <col min="1712" max="1712" width="9" style="46" customWidth="1"/>
    <col min="1713" max="1713" width="0" style="46" hidden="1" customWidth="1"/>
    <col min="1714" max="1714" width="78" style="46" customWidth="1"/>
    <col min="1715" max="1715" width="14.26953125" style="46" customWidth="1"/>
    <col min="1716" max="1716" width="12.453125" style="46" customWidth="1"/>
    <col min="1717" max="1717" width="19" style="46" customWidth="1"/>
    <col min="1718" max="1718" width="11.26953125" style="46" customWidth="1"/>
    <col min="1719" max="1719" width="19" style="46" customWidth="1"/>
    <col min="1720" max="1720" width="2.1796875" style="46" customWidth="1"/>
    <col min="1721" max="1721" width="19" style="46" customWidth="1"/>
    <col min="1722" max="1722" width="37.453125" style="46" customWidth="1"/>
    <col min="1723" max="1812" width="11.453125" style="46" customWidth="1"/>
    <col min="1813" max="1966" width="11.453125" style="46"/>
    <col min="1967" max="1967" width="0" style="46" hidden="1" customWidth="1"/>
    <col min="1968" max="1968" width="9" style="46" customWidth="1"/>
    <col min="1969" max="1969" width="0" style="46" hidden="1" customWidth="1"/>
    <col min="1970" max="1970" width="78" style="46" customWidth="1"/>
    <col min="1971" max="1971" width="14.26953125" style="46" customWidth="1"/>
    <col min="1972" max="1972" width="12.453125" style="46" customWidth="1"/>
    <col min="1973" max="1973" width="19" style="46" customWidth="1"/>
    <col min="1974" max="1974" width="11.26953125" style="46" customWidth="1"/>
    <col min="1975" max="1975" width="19" style="46" customWidth="1"/>
    <col min="1976" max="1976" width="2.1796875" style="46" customWidth="1"/>
    <col min="1977" max="1977" width="19" style="46" customWidth="1"/>
    <col min="1978" max="1978" width="37.453125" style="46" customWidth="1"/>
    <col min="1979" max="2068" width="11.453125" style="46" customWidth="1"/>
    <col min="2069" max="2222" width="11.453125" style="46"/>
    <col min="2223" max="2223" width="0" style="46" hidden="1" customWidth="1"/>
    <col min="2224" max="2224" width="9" style="46" customWidth="1"/>
    <col min="2225" max="2225" width="0" style="46" hidden="1" customWidth="1"/>
    <col min="2226" max="2226" width="78" style="46" customWidth="1"/>
    <col min="2227" max="2227" width="14.26953125" style="46" customWidth="1"/>
    <col min="2228" max="2228" width="12.453125" style="46" customWidth="1"/>
    <col min="2229" max="2229" width="19" style="46" customWidth="1"/>
    <col min="2230" max="2230" width="11.26953125" style="46" customWidth="1"/>
    <col min="2231" max="2231" width="19" style="46" customWidth="1"/>
    <col min="2232" max="2232" width="2.1796875" style="46" customWidth="1"/>
    <col min="2233" max="2233" width="19" style="46" customWidth="1"/>
    <col min="2234" max="2234" width="37.453125" style="46" customWidth="1"/>
    <col min="2235" max="2324" width="11.453125" style="46" customWidth="1"/>
    <col min="2325" max="2478" width="11.453125" style="46"/>
    <col min="2479" max="2479" width="0" style="46" hidden="1" customWidth="1"/>
    <col min="2480" max="2480" width="9" style="46" customWidth="1"/>
    <col min="2481" max="2481" width="0" style="46" hidden="1" customWidth="1"/>
    <col min="2482" max="2482" width="78" style="46" customWidth="1"/>
    <col min="2483" max="2483" width="14.26953125" style="46" customWidth="1"/>
    <col min="2484" max="2484" width="12.453125" style="46" customWidth="1"/>
    <col min="2485" max="2485" width="19" style="46" customWidth="1"/>
    <col min="2486" max="2486" width="11.26953125" style="46" customWidth="1"/>
    <col min="2487" max="2487" width="19" style="46" customWidth="1"/>
    <col min="2488" max="2488" width="2.1796875" style="46" customWidth="1"/>
    <col min="2489" max="2489" width="19" style="46" customWidth="1"/>
    <col min="2490" max="2490" width="37.453125" style="46" customWidth="1"/>
    <col min="2491" max="2580" width="11.453125" style="46" customWidth="1"/>
    <col min="2581" max="2734" width="11.453125" style="46"/>
    <col min="2735" max="2735" width="0" style="46" hidden="1" customWidth="1"/>
    <col min="2736" max="2736" width="9" style="46" customWidth="1"/>
    <col min="2737" max="2737" width="0" style="46" hidden="1" customWidth="1"/>
    <col min="2738" max="2738" width="78" style="46" customWidth="1"/>
    <col min="2739" max="2739" width="14.26953125" style="46" customWidth="1"/>
    <col min="2740" max="2740" width="12.453125" style="46" customWidth="1"/>
    <col min="2741" max="2741" width="19" style="46" customWidth="1"/>
    <col min="2742" max="2742" width="11.26953125" style="46" customWidth="1"/>
    <col min="2743" max="2743" width="19" style="46" customWidth="1"/>
    <col min="2744" max="2744" width="2.1796875" style="46" customWidth="1"/>
    <col min="2745" max="2745" width="19" style="46" customWidth="1"/>
    <col min="2746" max="2746" width="37.453125" style="46" customWidth="1"/>
    <col min="2747" max="2836" width="11.453125" style="46" customWidth="1"/>
    <col min="2837" max="2990" width="11.453125" style="46"/>
    <col min="2991" max="2991" width="0" style="46" hidden="1" customWidth="1"/>
    <col min="2992" max="2992" width="9" style="46" customWidth="1"/>
    <col min="2993" max="2993" width="0" style="46" hidden="1" customWidth="1"/>
    <col min="2994" max="2994" width="78" style="46" customWidth="1"/>
    <col min="2995" max="2995" width="14.26953125" style="46" customWidth="1"/>
    <col min="2996" max="2996" width="12.453125" style="46" customWidth="1"/>
    <col min="2997" max="2997" width="19" style="46" customWidth="1"/>
    <col min="2998" max="2998" width="11.26953125" style="46" customWidth="1"/>
    <col min="2999" max="2999" width="19" style="46" customWidth="1"/>
    <col min="3000" max="3000" width="2.1796875" style="46" customWidth="1"/>
    <col min="3001" max="3001" width="19" style="46" customWidth="1"/>
    <col min="3002" max="3002" width="37.453125" style="46" customWidth="1"/>
    <col min="3003" max="3092" width="11.453125" style="46" customWidth="1"/>
    <col min="3093" max="3246" width="11.453125" style="46"/>
    <col min="3247" max="3247" width="0" style="46" hidden="1" customWidth="1"/>
    <col min="3248" max="3248" width="9" style="46" customWidth="1"/>
    <col min="3249" max="3249" width="0" style="46" hidden="1" customWidth="1"/>
    <col min="3250" max="3250" width="78" style="46" customWidth="1"/>
    <col min="3251" max="3251" width="14.26953125" style="46" customWidth="1"/>
    <col min="3252" max="3252" width="12.453125" style="46" customWidth="1"/>
    <col min="3253" max="3253" width="19" style="46" customWidth="1"/>
    <col min="3254" max="3254" width="11.26953125" style="46" customWidth="1"/>
    <col min="3255" max="3255" width="19" style="46" customWidth="1"/>
    <col min="3256" max="3256" width="2.1796875" style="46" customWidth="1"/>
    <col min="3257" max="3257" width="19" style="46" customWidth="1"/>
    <col min="3258" max="3258" width="37.453125" style="46" customWidth="1"/>
    <col min="3259" max="3348" width="11.453125" style="46" customWidth="1"/>
    <col min="3349" max="3502" width="11.453125" style="46"/>
    <col min="3503" max="3503" width="0" style="46" hidden="1" customWidth="1"/>
    <col min="3504" max="3504" width="9" style="46" customWidth="1"/>
    <col min="3505" max="3505" width="0" style="46" hidden="1" customWidth="1"/>
    <col min="3506" max="3506" width="78" style="46" customWidth="1"/>
    <col min="3507" max="3507" width="14.26953125" style="46" customWidth="1"/>
    <col min="3508" max="3508" width="12.453125" style="46" customWidth="1"/>
    <col min="3509" max="3509" width="19" style="46" customWidth="1"/>
    <col min="3510" max="3510" width="11.26953125" style="46" customWidth="1"/>
    <col min="3511" max="3511" width="19" style="46" customWidth="1"/>
    <col min="3512" max="3512" width="2.1796875" style="46" customWidth="1"/>
    <col min="3513" max="3513" width="19" style="46" customWidth="1"/>
    <col min="3514" max="3514" width="37.453125" style="46" customWidth="1"/>
    <col min="3515" max="3604" width="11.453125" style="46" customWidth="1"/>
    <col min="3605" max="3758" width="11.453125" style="46"/>
    <col min="3759" max="3759" width="0" style="46" hidden="1" customWidth="1"/>
    <col min="3760" max="3760" width="9" style="46" customWidth="1"/>
    <col min="3761" max="3761" width="0" style="46" hidden="1" customWidth="1"/>
    <col min="3762" max="3762" width="78" style="46" customWidth="1"/>
    <col min="3763" max="3763" width="14.26953125" style="46" customWidth="1"/>
    <col min="3764" max="3764" width="12.453125" style="46" customWidth="1"/>
    <col min="3765" max="3765" width="19" style="46" customWidth="1"/>
    <col min="3766" max="3766" width="11.26953125" style="46" customWidth="1"/>
    <col min="3767" max="3767" width="19" style="46" customWidth="1"/>
    <col min="3768" max="3768" width="2.1796875" style="46" customWidth="1"/>
    <col min="3769" max="3769" width="19" style="46" customWidth="1"/>
    <col min="3770" max="3770" width="37.453125" style="46" customWidth="1"/>
    <col min="3771" max="3860" width="11.453125" style="46" customWidth="1"/>
    <col min="3861" max="4014" width="11.453125" style="46"/>
    <col min="4015" max="4015" width="0" style="46" hidden="1" customWidth="1"/>
    <col min="4016" max="4016" width="9" style="46" customWidth="1"/>
    <col min="4017" max="4017" width="0" style="46" hidden="1" customWidth="1"/>
    <col min="4018" max="4018" width="78" style="46" customWidth="1"/>
    <col min="4019" max="4019" width="14.26953125" style="46" customWidth="1"/>
    <col min="4020" max="4020" width="12.453125" style="46" customWidth="1"/>
    <col min="4021" max="4021" width="19" style="46" customWidth="1"/>
    <col min="4022" max="4022" width="11.26953125" style="46" customWidth="1"/>
    <col min="4023" max="4023" width="19" style="46" customWidth="1"/>
    <col min="4024" max="4024" width="2.1796875" style="46" customWidth="1"/>
    <col min="4025" max="4025" width="19" style="46" customWidth="1"/>
    <col min="4026" max="4026" width="37.453125" style="46" customWidth="1"/>
    <col min="4027" max="4116" width="11.453125" style="46" customWidth="1"/>
    <col min="4117" max="4270" width="11.453125" style="46"/>
    <col min="4271" max="4271" width="0" style="46" hidden="1" customWidth="1"/>
    <col min="4272" max="4272" width="9" style="46" customWidth="1"/>
    <col min="4273" max="4273" width="0" style="46" hidden="1" customWidth="1"/>
    <col min="4274" max="4274" width="78" style="46" customWidth="1"/>
    <col min="4275" max="4275" width="14.26953125" style="46" customWidth="1"/>
    <col min="4276" max="4276" width="12.453125" style="46" customWidth="1"/>
    <col min="4277" max="4277" width="19" style="46" customWidth="1"/>
    <col min="4278" max="4278" width="11.26953125" style="46" customWidth="1"/>
    <col min="4279" max="4279" width="19" style="46" customWidth="1"/>
    <col min="4280" max="4280" width="2.1796875" style="46" customWidth="1"/>
    <col min="4281" max="4281" width="19" style="46" customWidth="1"/>
    <col min="4282" max="4282" width="37.453125" style="46" customWidth="1"/>
    <col min="4283" max="4372" width="11.453125" style="46" customWidth="1"/>
    <col min="4373" max="4526" width="11.453125" style="46"/>
    <col min="4527" max="4527" width="0" style="46" hidden="1" customWidth="1"/>
    <col min="4528" max="4528" width="9" style="46" customWidth="1"/>
    <col min="4529" max="4529" width="0" style="46" hidden="1" customWidth="1"/>
    <col min="4530" max="4530" width="78" style="46" customWidth="1"/>
    <col min="4531" max="4531" width="14.26953125" style="46" customWidth="1"/>
    <col min="4532" max="4532" width="12.453125" style="46" customWidth="1"/>
    <col min="4533" max="4533" width="19" style="46" customWidth="1"/>
    <col min="4534" max="4534" width="11.26953125" style="46" customWidth="1"/>
    <col min="4535" max="4535" width="19" style="46" customWidth="1"/>
    <col min="4536" max="4536" width="2.1796875" style="46" customWidth="1"/>
    <col min="4537" max="4537" width="19" style="46" customWidth="1"/>
    <col min="4538" max="4538" width="37.453125" style="46" customWidth="1"/>
    <col min="4539" max="4628" width="11.453125" style="46" customWidth="1"/>
    <col min="4629" max="4782" width="11.453125" style="46"/>
    <col min="4783" max="4783" width="0" style="46" hidden="1" customWidth="1"/>
    <col min="4784" max="4784" width="9" style="46" customWidth="1"/>
    <col min="4785" max="4785" width="0" style="46" hidden="1" customWidth="1"/>
    <col min="4786" max="4786" width="78" style="46" customWidth="1"/>
    <col min="4787" max="4787" width="14.26953125" style="46" customWidth="1"/>
    <col min="4788" max="4788" width="12.453125" style="46" customWidth="1"/>
    <col min="4789" max="4789" width="19" style="46" customWidth="1"/>
    <col min="4790" max="4790" width="11.26953125" style="46" customWidth="1"/>
    <col min="4791" max="4791" width="19" style="46" customWidth="1"/>
    <col min="4792" max="4792" width="2.1796875" style="46" customWidth="1"/>
    <col min="4793" max="4793" width="19" style="46" customWidth="1"/>
    <col min="4794" max="4794" width="37.453125" style="46" customWidth="1"/>
    <col min="4795" max="4884" width="11.453125" style="46" customWidth="1"/>
    <col min="4885" max="5038" width="11.453125" style="46"/>
    <col min="5039" max="5039" width="0" style="46" hidden="1" customWidth="1"/>
    <col min="5040" max="5040" width="9" style="46" customWidth="1"/>
    <col min="5041" max="5041" width="0" style="46" hidden="1" customWidth="1"/>
    <col min="5042" max="5042" width="78" style="46" customWidth="1"/>
    <col min="5043" max="5043" width="14.26953125" style="46" customWidth="1"/>
    <col min="5044" max="5044" width="12.453125" style="46" customWidth="1"/>
    <col min="5045" max="5045" width="19" style="46" customWidth="1"/>
    <col min="5046" max="5046" width="11.26953125" style="46" customWidth="1"/>
    <col min="5047" max="5047" width="19" style="46" customWidth="1"/>
    <col min="5048" max="5048" width="2.1796875" style="46" customWidth="1"/>
    <col min="5049" max="5049" width="19" style="46" customWidth="1"/>
    <col min="5050" max="5050" width="37.453125" style="46" customWidth="1"/>
    <col min="5051" max="5140" width="11.453125" style="46" customWidth="1"/>
    <col min="5141" max="5294" width="11.453125" style="46"/>
    <col min="5295" max="5295" width="0" style="46" hidden="1" customWidth="1"/>
    <col min="5296" max="5296" width="9" style="46" customWidth="1"/>
    <col min="5297" max="5297" width="0" style="46" hidden="1" customWidth="1"/>
    <col min="5298" max="5298" width="78" style="46" customWidth="1"/>
    <col min="5299" max="5299" width="14.26953125" style="46" customWidth="1"/>
    <col min="5300" max="5300" width="12.453125" style="46" customWidth="1"/>
    <col min="5301" max="5301" width="19" style="46" customWidth="1"/>
    <col min="5302" max="5302" width="11.26953125" style="46" customWidth="1"/>
    <col min="5303" max="5303" width="19" style="46" customWidth="1"/>
    <col min="5304" max="5304" width="2.1796875" style="46" customWidth="1"/>
    <col min="5305" max="5305" width="19" style="46" customWidth="1"/>
    <col min="5306" max="5306" width="37.453125" style="46" customWidth="1"/>
    <col min="5307" max="5396" width="11.453125" style="46" customWidth="1"/>
    <col min="5397" max="5550" width="11.453125" style="46"/>
    <col min="5551" max="5551" width="0" style="46" hidden="1" customWidth="1"/>
    <col min="5552" max="5552" width="9" style="46" customWidth="1"/>
    <col min="5553" max="5553" width="0" style="46" hidden="1" customWidth="1"/>
    <col min="5554" max="5554" width="78" style="46" customWidth="1"/>
    <col min="5555" max="5555" width="14.26953125" style="46" customWidth="1"/>
    <col min="5556" max="5556" width="12.453125" style="46" customWidth="1"/>
    <col min="5557" max="5557" width="19" style="46" customWidth="1"/>
    <col min="5558" max="5558" width="11.26953125" style="46" customWidth="1"/>
    <col min="5559" max="5559" width="19" style="46" customWidth="1"/>
    <col min="5560" max="5560" width="2.1796875" style="46" customWidth="1"/>
    <col min="5561" max="5561" width="19" style="46" customWidth="1"/>
    <col min="5562" max="5562" width="37.453125" style="46" customWidth="1"/>
    <col min="5563" max="5652" width="11.453125" style="46" customWidth="1"/>
    <col min="5653" max="5806" width="11.453125" style="46"/>
    <col min="5807" max="5807" width="0" style="46" hidden="1" customWidth="1"/>
    <col min="5808" max="5808" width="9" style="46" customWidth="1"/>
    <col min="5809" max="5809" width="0" style="46" hidden="1" customWidth="1"/>
    <col min="5810" max="5810" width="78" style="46" customWidth="1"/>
    <col min="5811" max="5811" width="14.26953125" style="46" customWidth="1"/>
    <col min="5812" max="5812" width="12.453125" style="46" customWidth="1"/>
    <col min="5813" max="5813" width="19" style="46" customWidth="1"/>
    <col min="5814" max="5814" width="11.26953125" style="46" customWidth="1"/>
    <col min="5815" max="5815" width="19" style="46" customWidth="1"/>
    <col min="5816" max="5816" width="2.1796875" style="46" customWidth="1"/>
    <col min="5817" max="5817" width="19" style="46" customWidth="1"/>
    <col min="5818" max="5818" width="37.453125" style="46" customWidth="1"/>
    <col min="5819" max="5908" width="11.453125" style="46" customWidth="1"/>
    <col min="5909" max="6062" width="11.453125" style="46"/>
    <col min="6063" max="6063" width="0" style="46" hidden="1" customWidth="1"/>
    <col min="6064" max="6064" width="9" style="46" customWidth="1"/>
    <col min="6065" max="6065" width="0" style="46" hidden="1" customWidth="1"/>
    <col min="6066" max="6066" width="78" style="46" customWidth="1"/>
    <col min="6067" max="6067" width="14.26953125" style="46" customWidth="1"/>
    <col min="6068" max="6068" width="12.453125" style="46" customWidth="1"/>
    <col min="6069" max="6069" width="19" style="46" customWidth="1"/>
    <col min="6070" max="6070" width="11.26953125" style="46" customWidth="1"/>
    <col min="6071" max="6071" width="19" style="46" customWidth="1"/>
    <col min="6072" max="6072" width="2.1796875" style="46" customWidth="1"/>
    <col min="6073" max="6073" width="19" style="46" customWidth="1"/>
    <col min="6074" max="6074" width="37.453125" style="46" customWidth="1"/>
    <col min="6075" max="6164" width="11.453125" style="46" customWidth="1"/>
    <col min="6165" max="6318" width="11.453125" style="46"/>
    <col min="6319" max="6319" width="0" style="46" hidden="1" customWidth="1"/>
    <col min="6320" max="6320" width="9" style="46" customWidth="1"/>
    <col min="6321" max="6321" width="0" style="46" hidden="1" customWidth="1"/>
    <col min="6322" max="6322" width="78" style="46" customWidth="1"/>
    <col min="6323" max="6323" width="14.26953125" style="46" customWidth="1"/>
    <col min="6324" max="6324" width="12.453125" style="46" customWidth="1"/>
    <col min="6325" max="6325" width="19" style="46" customWidth="1"/>
    <col min="6326" max="6326" width="11.26953125" style="46" customWidth="1"/>
    <col min="6327" max="6327" width="19" style="46" customWidth="1"/>
    <col min="6328" max="6328" width="2.1796875" style="46" customWidth="1"/>
    <col min="6329" max="6329" width="19" style="46" customWidth="1"/>
    <col min="6330" max="6330" width="37.453125" style="46" customWidth="1"/>
    <col min="6331" max="6420" width="11.453125" style="46" customWidth="1"/>
    <col min="6421" max="6574" width="11.453125" style="46"/>
    <col min="6575" max="6575" width="0" style="46" hidden="1" customWidth="1"/>
    <col min="6576" max="6576" width="9" style="46" customWidth="1"/>
    <col min="6577" max="6577" width="0" style="46" hidden="1" customWidth="1"/>
    <col min="6578" max="6578" width="78" style="46" customWidth="1"/>
    <col min="6579" max="6579" width="14.26953125" style="46" customWidth="1"/>
    <col min="6580" max="6580" width="12.453125" style="46" customWidth="1"/>
    <col min="6581" max="6581" width="19" style="46" customWidth="1"/>
    <col min="6582" max="6582" width="11.26953125" style="46" customWidth="1"/>
    <col min="6583" max="6583" width="19" style="46" customWidth="1"/>
    <col min="6584" max="6584" width="2.1796875" style="46" customWidth="1"/>
    <col min="6585" max="6585" width="19" style="46" customWidth="1"/>
    <col min="6586" max="6586" width="37.453125" style="46" customWidth="1"/>
    <col min="6587" max="6676" width="11.453125" style="46" customWidth="1"/>
    <col min="6677" max="6830" width="11.453125" style="46"/>
    <col min="6831" max="6831" width="0" style="46" hidden="1" customWidth="1"/>
    <col min="6832" max="6832" width="9" style="46" customWidth="1"/>
    <col min="6833" max="6833" width="0" style="46" hidden="1" customWidth="1"/>
    <col min="6834" max="6834" width="78" style="46" customWidth="1"/>
    <col min="6835" max="6835" width="14.26953125" style="46" customWidth="1"/>
    <col min="6836" max="6836" width="12.453125" style="46" customWidth="1"/>
    <col min="6837" max="6837" width="19" style="46" customWidth="1"/>
    <col min="6838" max="6838" width="11.26953125" style="46" customWidth="1"/>
    <col min="6839" max="6839" width="19" style="46" customWidth="1"/>
    <col min="6840" max="6840" width="2.1796875" style="46" customWidth="1"/>
    <col min="6841" max="6841" width="19" style="46" customWidth="1"/>
    <col min="6842" max="6842" width="37.453125" style="46" customWidth="1"/>
    <col min="6843" max="6932" width="11.453125" style="46" customWidth="1"/>
    <col min="6933" max="7086" width="11.453125" style="46"/>
    <col min="7087" max="7087" width="0" style="46" hidden="1" customWidth="1"/>
    <col min="7088" max="7088" width="9" style="46" customWidth="1"/>
    <col min="7089" max="7089" width="0" style="46" hidden="1" customWidth="1"/>
    <col min="7090" max="7090" width="78" style="46" customWidth="1"/>
    <col min="7091" max="7091" width="14.26953125" style="46" customWidth="1"/>
    <col min="7092" max="7092" width="12.453125" style="46" customWidth="1"/>
    <col min="7093" max="7093" width="19" style="46" customWidth="1"/>
    <col min="7094" max="7094" width="11.26953125" style="46" customWidth="1"/>
    <col min="7095" max="7095" width="19" style="46" customWidth="1"/>
    <col min="7096" max="7096" width="2.1796875" style="46" customWidth="1"/>
    <col min="7097" max="7097" width="19" style="46" customWidth="1"/>
    <col min="7098" max="7098" width="37.453125" style="46" customWidth="1"/>
    <col min="7099" max="7188" width="11.453125" style="46" customWidth="1"/>
    <col min="7189" max="7342" width="11.453125" style="46"/>
    <col min="7343" max="7343" width="0" style="46" hidden="1" customWidth="1"/>
    <col min="7344" max="7344" width="9" style="46" customWidth="1"/>
    <col min="7345" max="7345" width="0" style="46" hidden="1" customWidth="1"/>
    <col min="7346" max="7346" width="78" style="46" customWidth="1"/>
    <col min="7347" max="7347" width="14.26953125" style="46" customWidth="1"/>
    <col min="7348" max="7348" width="12.453125" style="46" customWidth="1"/>
    <col min="7349" max="7349" width="19" style="46" customWidth="1"/>
    <col min="7350" max="7350" width="11.26953125" style="46" customWidth="1"/>
    <col min="7351" max="7351" width="19" style="46" customWidth="1"/>
    <col min="7352" max="7352" width="2.1796875" style="46" customWidth="1"/>
    <col min="7353" max="7353" width="19" style="46" customWidth="1"/>
    <col min="7354" max="7354" width="37.453125" style="46" customWidth="1"/>
    <col min="7355" max="7444" width="11.453125" style="46" customWidth="1"/>
    <col min="7445" max="7598" width="11.453125" style="46"/>
    <col min="7599" max="7599" width="0" style="46" hidden="1" customWidth="1"/>
    <col min="7600" max="7600" width="9" style="46" customWidth="1"/>
    <col min="7601" max="7601" width="0" style="46" hidden="1" customWidth="1"/>
    <col min="7602" max="7602" width="78" style="46" customWidth="1"/>
    <col min="7603" max="7603" width="14.26953125" style="46" customWidth="1"/>
    <col min="7604" max="7604" width="12.453125" style="46" customWidth="1"/>
    <col min="7605" max="7605" width="19" style="46" customWidth="1"/>
    <col min="7606" max="7606" width="11.26953125" style="46" customWidth="1"/>
    <col min="7607" max="7607" width="19" style="46" customWidth="1"/>
    <col min="7608" max="7608" width="2.1796875" style="46" customWidth="1"/>
    <col min="7609" max="7609" width="19" style="46" customWidth="1"/>
    <col min="7610" max="7610" width="37.453125" style="46" customWidth="1"/>
    <col min="7611" max="7700" width="11.453125" style="46" customWidth="1"/>
    <col min="7701" max="7854" width="11.453125" style="46"/>
    <col min="7855" max="7855" width="0" style="46" hidden="1" customWidth="1"/>
    <col min="7856" max="7856" width="9" style="46" customWidth="1"/>
    <col min="7857" max="7857" width="0" style="46" hidden="1" customWidth="1"/>
    <col min="7858" max="7858" width="78" style="46" customWidth="1"/>
    <col min="7859" max="7859" width="14.26953125" style="46" customWidth="1"/>
    <col min="7860" max="7860" width="12.453125" style="46" customWidth="1"/>
    <col min="7861" max="7861" width="19" style="46" customWidth="1"/>
    <col min="7862" max="7862" width="11.26953125" style="46" customWidth="1"/>
    <col min="7863" max="7863" width="19" style="46" customWidth="1"/>
    <col min="7864" max="7864" width="2.1796875" style="46" customWidth="1"/>
    <col min="7865" max="7865" width="19" style="46" customWidth="1"/>
    <col min="7866" max="7866" width="37.453125" style="46" customWidth="1"/>
    <col min="7867" max="7956" width="11.453125" style="46" customWidth="1"/>
    <col min="7957" max="8110" width="11.453125" style="46"/>
    <col min="8111" max="8111" width="0" style="46" hidden="1" customWidth="1"/>
    <col min="8112" max="8112" width="9" style="46" customWidth="1"/>
    <col min="8113" max="8113" width="0" style="46" hidden="1" customWidth="1"/>
    <col min="8114" max="8114" width="78" style="46" customWidth="1"/>
    <col min="8115" max="8115" width="14.26953125" style="46" customWidth="1"/>
    <col min="8116" max="8116" width="12.453125" style="46" customWidth="1"/>
    <col min="8117" max="8117" width="19" style="46" customWidth="1"/>
    <col min="8118" max="8118" width="11.26953125" style="46" customWidth="1"/>
    <col min="8119" max="8119" width="19" style="46" customWidth="1"/>
    <col min="8120" max="8120" width="2.1796875" style="46" customWidth="1"/>
    <col min="8121" max="8121" width="19" style="46" customWidth="1"/>
    <col min="8122" max="8122" width="37.453125" style="46" customWidth="1"/>
    <col min="8123" max="8212" width="11.453125" style="46" customWidth="1"/>
    <col min="8213" max="8366" width="11.453125" style="46"/>
    <col min="8367" max="8367" width="0" style="46" hidden="1" customWidth="1"/>
    <col min="8368" max="8368" width="9" style="46" customWidth="1"/>
    <col min="8369" max="8369" width="0" style="46" hidden="1" customWidth="1"/>
    <col min="8370" max="8370" width="78" style="46" customWidth="1"/>
    <col min="8371" max="8371" width="14.26953125" style="46" customWidth="1"/>
    <col min="8372" max="8372" width="12.453125" style="46" customWidth="1"/>
    <col min="8373" max="8373" width="19" style="46" customWidth="1"/>
    <col min="8374" max="8374" width="11.26953125" style="46" customWidth="1"/>
    <col min="8375" max="8375" width="19" style="46" customWidth="1"/>
    <col min="8376" max="8376" width="2.1796875" style="46" customWidth="1"/>
    <col min="8377" max="8377" width="19" style="46" customWidth="1"/>
    <col min="8378" max="8378" width="37.453125" style="46" customWidth="1"/>
    <col min="8379" max="8468" width="11.453125" style="46" customWidth="1"/>
    <col min="8469" max="8622" width="11.453125" style="46"/>
    <col min="8623" max="8623" width="0" style="46" hidden="1" customWidth="1"/>
    <col min="8624" max="8624" width="9" style="46" customWidth="1"/>
    <col min="8625" max="8625" width="0" style="46" hidden="1" customWidth="1"/>
    <col min="8626" max="8626" width="78" style="46" customWidth="1"/>
    <col min="8627" max="8627" width="14.26953125" style="46" customWidth="1"/>
    <col min="8628" max="8628" width="12.453125" style="46" customWidth="1"/>
    <col min="8629" max="8629" width="19" style="46" customWidth="1"/>
    <col min="8630" max="8630" width="11.26953125" style="46" customWidth="1"/>
    <col min="8631" max="8631" width="19" style="46" customWidth="1"/>
    <col min="8632" max="8632" width="2.1796875" style="46" customWidth="1"/>
    <col min="8633" max="8633" width="19" style="46" customWidth="1"/>
    <col min="8634" max="8634" width="37.453125" style="46" customWidth="1"/>
    <col min="8635" max="8724" width="11.453125" style="46" customWidth="1"/>
    <col min="8725" max="8878" width="11.453125" style="46"/>
    <col min="8879" max="8879" width="0" style="46" hidden="1" customWidth="1"/>
    <col min="8880" max="8880" width="9" style="46" customWidth="1"/>
    <col min="8881" max="8881" width="0" style="46" hidden="1" customWidth="1"/>
    <col min="8882" max="8882" width="78" style="46" customWidth="1"/>
    <col min="8883" max="8883" width="14.26953125" style="46" customWidth="1"/>
    <col min="8884" max="8884" width="12.453125" style="46" customWidth="1"/>
    <col min="8885" max="8885" width="19" style="46" customWidth="1"/>
    <col min="8886" max="8886" width="11.26953125" style="46" customWidth="1"/>
    <col min="8887" max="8887" width="19" style="46" customWidth="1"/>
    <col min="8888" max="8888" width="2.1796875" style="46" customWidth="1"/>
    <col min="8889" max="8889" width="19" style="46" customWidth="1"/>
    <col min="8890" max="8890" width="37.453125" style="46" customWidth="1"/>
    <col min="8891" max="8980" width="11.453125" style="46" customWidth="1"/>
    <col min="8981" max="9134" width="11.453125" style="46"/>
    <col min="9135" max="9135" width="0" style="46" hidden="1" customWidth="1"/>
    <col min="9136" max="9136" width="9" style="46" customWidth="1"/>
    <col min="9137" max="9137" width="0" style="46" hidden="1" customWidth="1"/>
    <col min="9138" max="9138" width="78" style="46" customWidth="1"/>
    <col min="9139" max="9139" width="14.26953125" style="46" customWidth="1"/>
    <col min="9140" max="9140" width="12.453125" style="46" customWidth="1"/>
    <col min="9141" max="9141" width="19" style="46" customWidth="1"/>
    <col min="9142" max="9142" width="11.26953125" style="46" customWidth="1"/>
    <col min="9143" max="9143" width="19" style="46" customWidth="1"/>
    <col min="9144" max="9144" width="2.1796875" style="46" customWidth="1"/>
    <col min="9145" max="9145" width="19" style="46" customWidth="1"/>
    <col min="9146" max="9146" width="37.453125" style="46" customWidth="1"/>
    <col min="9147" max="9236" width="11.453125" style="46" customWidth="1"/>
    <col min="9237" max="9390" width="11.453125" style="46"/>
    <col min="9391" max="9391" width="0" style="46" hidden="1" customWidth="1"/>
    <col min="9392" max="9392" width="9" style="46" customWidth="1"/>
    <col min="9393" max="9393" width="0" style="46" hidden="1" customWidth="1"/>
    <col min="9394" max="9394" width="78" style="46" customWidth="1"/>
    <col min="9395" max="9395" width="14.26953125" style="46" customWidth="1"/>
    <col min="9396" max="9396" width="12.453125" style="46" customWidth="1"/>
    <col min="9397" max="9397" width="19" style="46" customWidth="1"/>
    <col min="9398" max="9398" width="11.26953125" style="46" customWidth="1"/>
    <col min="9399" max="9399" width="19" style="46" customWidth="1"/>
    <col min="9400" max="9400" width="2.1796875" style="46" customWidth="1"/>
    <col min="9401" max="9401" width="19" style="46" customWidth="1"/>
    <col min="9402" max="9402" width="37.453125" style="46" customWidth="1"/>
    <col min="9403" max="9492" width="11.453125" style="46" customWidth="1"/>
    <col min="9493" max="9646" width="11.453125" style="46"/>
    <col min="9647" max="9647" width="0" style="46" hidden="1" customWidth="1"/>
    <col min="9648" max="9648" width="9" style="46" customWidth="1"/>
    <col min="9649" max="9649" width="0" style="46" hidden="1" customWidth="1"/>
    <col min="9650" max="9650" width="78" style="46" customWidth="1"/>
    <col min="9651" max="9651" width="14.26953125" style="46" customWidth="1"/>
    <col min="9652" max="9652" width="12.453125" style="46" customWidth="1"/>
    <col min="9653" max="9653" width="19" style="46" customWidth="1"/>
    <col min="9654" max="9654" width="11.26953125" style="46" customWidth="1"/>
    <col min="9655" max="9655" width="19" style="46" customWidth="1"/>
    <col min="9656" max="9656" width="2.1796875" style="46" customWidth="1"/>
    <col min="9657" max="9657" width="19" style="46" customWidth="1"/>
    <col min="9658" max="9658" width="37.453125" style="46" customWidth="1"/>
    <col min="9659" max="9748" width="11.453125" style="46" customWidth="1"/>
    <col min="9749" max="9902" width="11.453125" style="46"/>
    <col min="9903" max="9903" width="0" style="46" hidden="1" customWidth="1"/>
    <col min="9904" max="9904" width="9" style="46" customWidth="1"/>
    <col min="9905" max="9905" width="0" style="46" hidden="1" customWidth="1"/>
    <col min="9906" max="9906" width="78" style="46" customWidth="1"/>
    <col min="9907" max="9907" width="14.26953125" style="46" customWidth="1"/>
    <col min="9908" max="9908" width="12.453125" style="46" customWidth="1"/>
    <col min="9909" max="9909" width="19" style="46" customWidth="1"/>
    <col min="9910" max="9910" width="11.26953125" style="46" customWidth="1"/>
    <col min="9911" max="9911" width="19" style="46" customWidth="1"/>
    <col min="9912" max="9912" width="2.1796875" style="46" customWidth="1"/>
    <col min="9913" max="9913" width="19" style="46" customWidth="1"/>
    <col min="9914" max="9914" width="37.453125" style="46" customWidth="1"/>
    <col min="9915" max="10004" width="11.453125" style="46" customWidth="1"/>
    <col min="10005" max="10158" width="11.453125" style="46"/>
    <col min="10159" max="10159" width="0" style="46" hidden="1" customWidth="1"/>
    <col min="10160" max="10160" width="9" style="46" customWidth="1"/>
    <col min="10161" max="10161" width="0" style="46" hidden="1" customWidth="1"/>
    <col min="10162" max="10162" width="78" style="46" customWidth="1"/>
    <col min="10163" max="10163" width="14.26953125" style="46" customWidth="1"/>
    <col min="10164" max="10164" width="12.453125" style="46" customWidth="1"/>
    <col min="10165" max="10165" width="19" style="46" customWidth="1"/>
    <col min="10166" max="10166" width="11.26953125" style="46" customWidth="1"/>
    <col min="10167" max="10167" width="19" style="46" customWidth="1"/>
    <col min="10168" max="10168" width="2.1796875" style="46" customWidth="1"/>
    <col min="10169" max="10169" width="19" style="46" customWidth="1"/>
    <col min="10170" max="10170" width="37.453125" style="46" customWidth="1"/>
    <col min="10171" max="10260" width="11.453125" style="46" customWidth="1"/>
    <col min="10261" max="10414" width="11.453125" style="46"/>
    <col min="10415" max="10415" width="0" style="46" hidden="1" customWidth="1"/>
    <col min="10416" max="10416" width="9" style="46" customWidth="1"/>
    <col min="10417" max="10417" width="0" style="46" hidden="1" customWidth="1"/>
    <col min="10418" max="10418" width="78" style="46" customWidth="1"/>
    <col min="10419" max="10419" width="14.26953125" style="46" customWidth="1"/>
    <col min="10420" max="10420" width="12.453125" style="46" customWidth="1"/>
    <col min="10421" max="10421" width="19" style="46" customWidth="1"/>
    <col min="10422" max="10422" width="11.26953125" style="46" customWidth="1"/>
    <col min="10423" max="10423" width="19" style="46" customWidth="1"/>
    <col min="10424" max="10424" width="2.1796875" style="46" customWidth="1"/>
    <col min="10425" max="10425" width="19" style="46" customWidth="1"/>
    <col min="10426" max="10426" width="37.453125" style="46" customWidth="1"/>
    <col min="10427" max="10516" width="11.453125" style="46" customWidth="1"/>
    <col min="10517" max="10670" width="11.453125" style="46"/>
    <col min="10671" max="10671" width="0" style="46" hidden="1" customWidth="1"/>
    <col min="10672" max="10672" width="9" style="46" customWidth="1"/>
    <col min="10673" max="10673" width="0" style="46" hidden="1" customWidth="1"/>
    <col min="10674" max="10674" width="78" style="46" customWidth="1"/>
    <col min="10675" max="10675" width="14.26953125" style="46" customWidth="1"/>
    <col min="10676" max="10676" width="12.453125" style="46" customWidth="1"/>
    <col min="10677" max="10677" width="19" style="46" customWidth="1"/>
    <col min="10678" max="10678" width="11.26953125" style="46" customWidth="1"/>
    <col min="10679" max="10679" width="19" style="46" customWidth="1"/>
    <col min="10680" max="10680" width="2.1796875" style="46" customWidth="1"/>
    <col min="10681" max="10681" width="19" style="46" customWidth="1"/>
    <col min="10682" max="10682" width="37.453125" style="46" customWidth="1"/>
    <col min="10683" max="10772" width="11.453125" style="46" customWidth="1"/>
    <col min="10773" max="10926" width="11.453125" style="46"/>
    <col min="10927" max="10927" width="0" style="46" hidden="1" customWidth="1"/>
    <col min="10928" max="10928" width="9" style="46" customWidth="1"/>
    <col min="10929" max="10929" width="0" style="46" hidden="1" customWidth="1"/>
    <col min="10930" max="10930" width="78" style="46" customWidth="1"/>
    <col min="10931" max="10931" width="14.26953125" style="46" customWidth="1"/>
    <col min="10932" max="10932" width="12.453125" style="46" customWidth="1"/>
    <col min="10933" max="10933" width="19" style="46" customWidth="1"/>
    <col min="10934" max="10934" width="11.26953125" style="46" customWidth="1"/>
    <col min="10935" max="10935" width="19" style="46" customWidth="1"/>
    <col min="10936" max="10936" width="2.1796875" style="46" customWidth="1"/>
    <col min="10937" max="10937" width="19" style="46" customWidth="1"/>
    <col min="10938" max="10938" width="37.453125" style="46" customWidth="1"/>
    <col min="10939" max="11028" width="11.453125" style="46" customWidth="1"/>
    <col min="11029" max="11182" width="11.453125" style="46"/>
    <col min="11183" max="11183" width="0" style="46" hidden="1" customWidth="1"/>
    <col min="11184" max="11184" width="9" style="46" customWidth="1"/>
    <col min="11185" max="11185" width="0" style="46" hidden="1" customWidth="1"/>
    <col min="11186" max="11186" width="78" style="46" customWidth="1"/>
    <col min="11187" max="11187" width="14.26953125" style="46" customWidth="1"/>
    <col min="11188" max="11188" width="12.453125" style="46" customWidth="1"/>
    <col min="11189" max="11189" width="19" style="46" customWidth="1"/>
    <col min="11190" max="11190" width="11.26953125" style="46" customWidth="1"/>
    <col min="11191" max="11191" width="19" style="46" customWidth="1"/>
    <col min="11192" max="11192" width="2.1796875" style="46" customWidth="1"/>
    <col min="11193" max="11193" width="19" style="46" customWidth="1"/>
    <col min="11194" max="11194" width="37.453125" style="46" customWidth="1"/>
    <col min="11195" max="11284" width="11.453125" style="46" customWidth="1"/>
    <col min="11285" max="11438" width="11.453125" style="46"/>
    <col min="11439" max="11439" width="0" style="46" hidden="1" customWidth="1"/>
    <col min="11440" max="11440" width="9" style="46" customWidth="1"/>
    <col min="11441" max="11441" width="0" style="46" hidden="1" customWidth="1"/>
    <col min="11442" max="11442" width="78" style="46" customWidth="1"/>
    <col min="11443" max="11443" width="14.26953125" style="46" customWidth="1"/>
    <col min="11444" max="11444" width="12.453125" style="46" customWidth="1"/>
    <col min="11445" max="11445" width="19" style="46" customWidth="1"/>
    <col min="11446" max="11446" width="11.26953125" style="46" customWidth="1"/>
    <col min="11447" max="11447" width="19" style="46" customWidth="1"/>
    <col min="11448" max="11448" width="2.1796875" style="46" customWidth="1"/>
    <col min="11449" max="11449" width="19" style="46" customWidth="1"/>
    <col min="11450" max="11450" width="37.453125" style="46" customWidth="1"/>
    <col min="11451" max="11540" width="11.453125" style="46" customWidth="1"/>
    <col min="11541" max="11694" width="11.453125" style="46"/>
    <col min="11695" max="11695" width="0" style="46" hidden="1" customWidth="1"/>
    <col min="11696" max="11696" width="9" style="46" customWidth="1"/>
    <col min="11697" max="11697" width="0" style="46" hidden="1" customWidth="1"/>
    <col min="11698" max="11698" width="78" style="46" customWidth="1"/>
    <col min="11699" max="11699" width="14.26953125" style="46" customWidth="1"/>
    <col min="11700" max="11700" width="12.453125" style="46" customWidth="1"/>
    <col min="11701" max="11701" width="19" style="46" customWidth="1"/>
    <col min="11702" max="11702" width="11.26953125" style="46" customWidth="1"/>
    <col min="11703" max="11703" width="19" style="46" customWidth="1"/>
    <col min="11704" max="11704" width="2.1796875" style="46" customWidth="1"/>
    <col min="11705" max="11705" width="19" style="46" customWidth="1"/>
    <col min="11706" max="11706" width="37.453125" style="46" customWidth="1"/>
    <col min="11707" max="11796" width="11.453125" style="46" customWidth="1"/>
    <col min="11797" max="11950" width="11.453125" style="46"/>
    <col min="11951" max="11951" width="0" style="46" hidden="1" customWidth="1"/>
    <col min="11952" max="11952" width="9" style="46" customWidth="1"/>
    <col min="11953" max="11953" width="0" style="46" hidden="1" customWidth="1"/>
    <col min="11954" max="11954" width="78" style="46" customWidth="1"/>
    <col min="11955" max="11955" width="14.26953125" style="46" customWidth="1"/>
    <col min="11956" max="11956" width="12.453125" style="46" customWidth="1"/>
    <col min="11957" max="11957" width="19" style="46" customWidth="1"/>
    <col min="11958" max="11958" width="11.26953125" style="46" customWidth="1"/>
    <col min="11959" max="11959" width="19" style="46" customWidth="1"/>
    <col min="11960" max="11960" width="2.1796875" style="46" customWidth="1"/>
    <col min="11961" max="11961" width="19" style="46" customWidth="1"/>
    <col min="11962" max="11962" width="37.453125" style="46" customWidth="1"/>
    <col min="11963" max="12052" width="11.453125" style="46" customWidth="1"/>
    <col min="12053" max="12206" width="11.453125" style="46"/>
    <col min="12207" max="12207" width="0" style="46" hidden="1" customWidth="1"/>
    <col min="12208" max="12208" width="9" style="46" customWidth="1"/>
    <col min="12209" max="12209" width="0" style="46" hidden="1" customWidth="1"/>
    <col min="12210" max="12210" width="78" style="46" customWidth="1"/>
    <col min="12211" max="12211" width="14.26953125" style="46" customWidth="1"/>
    <col min="12212" max="12212" width="12.453125" style="46" customWidth="1"/>
    <col min="12213" max="12213" width="19" style="46" customWidth="1"/>
    <col min="12214" max="12214" width="11.26953125" style="46" customWidth="1"/>
    <col min="12215" max="12215" width="19" style="46" customWidth="1"/>
    <col min="12216" max="12216" width="2.1796875" style="46" customWidth="1"/>
    <col min="12217" max="12217" width="19" style="46" customWidth="1"/>
    <col min="12218" max="12218" width="37.453125" style="46" customWidth="1"/>
    <col min="12219" max="12308" width="11.453125" style="46" customWidth="1"/>
    <col min="12309" max="12462" width="11.453125" style="46"/>
    <col min="12463" max="12463" width="0" style="46" hidden="1" customWidth="1"/>
    <col min="12464" max="12464" width="9" style="46" customWidth="1"/>
    <col min="12465" max="12465" width="0" style="46" hidden="1" customWidth="1"/>
    <col min="12466" max="12466" width="78" style="46" customWidth="1"/>
    <col min="12467" max="12467" width="14.26953125" style="46" customWidth="1"/>
    <col min="12468" max="12468" width="12.453125" style="46" customWidth="1"/>
    <col min="12469" max="12469" width="19" style="46" customWidth="1"/>
    <col min="12470" max="12470" width="11.26953125" style="46" customWidth="1"/>
    <col min="12471" max="12471" width="19" style="46" customWidth="1"/>
    <col min="12472" max="12472" width="2.1796875" style="46" customWidth="1"/>
    <col min="12473" max="12473" width="19" style="46" customWidth="1"/>
    <col min="12474" max="12474" width="37.453125" style="46" customWidth="1"/>
    <col min="12475" max="12564" width="11.453125" style="46" customWidth="1"/>
    <col min="12565" max="12718" width="11.453125" style="46"/>
    <col min="12719" max="12719" width="0" style="46" hidden="1" customWidth="1"/>
    <col min="12720" max="12720" width="9" style="46" customWidth="1"/>
    <col min="12721" max="12721" width="0" style="46" hidden="1" customWidth="1"/>
    <col min="12722" max="12722" width="78" style="46" customWidth="1"/>
    <col min="12723" max="12723" width="14.26953125" style="46" customWidth="1"/>
    <col min="12724" max="12724" width="12.453125" style="46" customWidth="1"/>
    <col min="12725" max="12725" width="19" style="46" customWidth="1"/>
    <col min="12726" max="12726" width="11.26953125" style="46" customWidth="1"/>
    <col min="12727" max="12727" width="19" style="46" customWidth="1"/>
    <col min="12728" max="12728" width="2.1796875" style="46" customWidth="1"/>
    <col min="12729" max="12729" width="19" style="46" customWidth="1"/>
    <col min="12730" max="12730" width="37.453125" style="46" customWidth="1"/>
    <col min="12731" max="12820" width="11.453125" style="46" customWidth="1"/>
    <col min="12821" max="12974" width="11.453125" style="46"/>
    <col min="12975" max="12975" width="0" style="46" hidden="1" customWidth="1"/>
    <col min="12976" max="12976" width="9" style="46" customWidth="1"/>
    <col min="12977" max="12977" width="0" style="46" hidden="1" customWidth="1"/>
    <col min="12978" max="12978" width="78" style="46" customWidth="1"/>
    <col min="12979" max="12979" width="14.26953125" style="46" customWidth="1"/>
    <col min="12980" max="12980" width="12.453125" style="46" customWidth="1"/>
    <col min="12981" max="12981" width="19" style="46" customWidth="1"/>
    <col min="12982" max="12982" width="11.26953125" style="46" customWidth="1"/>
    <col min="12983" max="12983" width="19" style="46" customWidth="1"/>
    <col min="12984" max="12984" width="2.1796875" style="46" customWidth="1"/>
    <col min="12985" max="12985" width="19" style="46" customWidth="1"/>
    <col min="12986" max="12986" width="37.453125" style="46" customWidth="1"/>
    <col min="12987" max="13076" width="11.453125" style="46" customWidth="1"/>
    <col min="13077" max="13230" width="11.453125" style="46"/>
    <col min="13231" max="13231" width="0" style="46" hidden="1" customWidth="1"/>
    <col min="13232" max="13232" width="9" style="46" customWidth="1"/>
    <col min="13233" max="13233" width="0" style="46" hidden="1" customWidth="1"/>
    <col min="13234" max="13234" width="78" style="46" customWidth="1"/>
    <col min="13235" max="13235" width="14.26953125" style="46" customWidth="1"/>
    <col min="13236" max="13236" width="12.453125" style="46" customWidth="1"/>
    <col min="13237" max="13237" width="19" style="46" customWidth="1"/>
    <col min="13238" max="13238" width="11.26953125" style="46" customWidth="1"/>
    <col min="13239" max="13239" width="19" style="46" customWidth="1"/>
    <col min="13240" max="13240" width="2.1796875" style="46" customWidth="1"/>
    <col min="13241" max="13241" width="19" style="46" customWidth="1"/>
    <col min="13242" max="13242" width="37.453125" style="46" customWidth="1"/>
    <col min="13243" max="13332" width="11.453125" style="46" customWidth="1"/>
    <col min="13333" max="13486" width="11.453125" style="46"/>
    <col min="13487" max="13487" width="0" style="46" hidden="1" customWidth="1"/>
    <col min="13488" max="13488" width="9" style="46" customWidth="1"/>
    <col min="13489" max="13489" width="0" style="46" hidden="1" customWidth="1"/>
    <col min="13490" max="13490" width="78" style="46" customWidth="1"/>
    <col min="13491" max="13491" width="14.26953125" style="46" customWidth="1"/>
    <col min="13492" max="13492" width="12.453125" style="46" customWidth="1"/>
    <col min="13493" max="13493" width="19" style="46" customWidth="1"/>
    <col min="13494" max="13494" width="11.26953125" style="46" customWidth="1"/>
    <col min="13495" max="13495" width="19" style="46" customWidth="1"/>
    <col min="13496" max="13496" width="2.1796875" style="46" customWidth="1"/>
    <col min="13497" max="13497" width="19" style="46" customWidth="1"/>
    <col min="13498" max="13498" width="37.453125" style="46" customWidth="1"/>
    <col min="13499" max="13588" width="11.453125" style="46" customWidth="1"/>
    <col min="13589" max="13742" width="11.453125" style="46"/>
    <col min="13743" max="13743" width="0" style="46" hidden="1" customWidth="1"/>
    <col min="13744" max="13744" width="9" style="46" customWidth="1"/>
    <col min="13745" max="13745" width="0" style="46" hidden="1" customWidth="1"/>
    <col min="13746" max="13746" width="78" style="46" customWidth="1"/>
    <col min="13747" max="13747" width="14.26953125" style="46" customWidth="1"/>
    <col min="13748" max="13748" width="12.453125" style="46" customWidth="1"/>
    <col min="13749" max="13749" width="19" style="46" customWidth="1"/>
    <col min="13750" max="13750" width="11.26953125" style="46" customWidth="1"/>
    <col min="13751" max="13751" width="19" style="46" customWidth="1"/>
    <col min="13752" max="13752" width="2.1796875" style="46" customWidth="1"/>
    <col min="13753" max="13753" width="19" style="46" customWidth="1"/>
    <col min="13754" max="13754" width="37.453125" style="46" customWidth="1"/>
    <col min="13755" max="13844" width="11.453125" style="46" customWidth="1"/>
    <col min="13845" max="13998" width="11.453125" style="46"/>
    <col min="13999" max="13999" width="0" style="46" hidden="1" customWidth="1"/>
    <col min="14000" max="14000" width="9" style="46" customWidth="1"/>
    <col min="14001" max="14001" width="0" style="46" hidden="1" customWidth="1"/>
    <col min="14002" max="14002" width="78" style="46" customWidth="1"/>
    <col min="14003" max="14003" width="14.26953125" style="46" customWidth="1"/>
    <col min="14004" max="14004" width="12.453125" style="46" customWidth="1"/>
    <col min="14005" max="14005" width="19" style="46" customWidth="1"/>
    <col min="14006" max="14006" width="11.26953125" style="46" customWidth="1"/>
    <col min="14007" max="14007" width="19" style="46" customWidth="1"/>
    <col min="14008" max="14008" width="2.1796875" style="46" customWidth="1"/>
    <col min="14009" max="14009" width="19" style="46" customWidth="1"/>
    <col min="14010" max="14010" width="37.453125" style="46" customWidth="1"/>
    <col min="14011" max="14100" width="11.453125" style="46" customWidth="1"/>
    <col min="14101" max="14254" width="11.453125" style="46"/>
    <col min="14255" max="14255" width="0" style="46" hidden="1" customWidth="1"/>
    <col min="14256" max="14256" width="9" style="46" customWidth="1"/>
    <col min="14257" max="14257" width="0" style="46" hidden="1" customWidth="1"/>
    <col min="14258" max="14258" width="78" style="46" customWidth="1"/>
    <col min="14259" max="14259" width="14.26953125" style="46" customWidth="1"/>
    <col min="14260" max="14260" width="12.453125" style="46" customWidth="1"/>
    <col min="14261" max="14261" width="19" style="46" customWidth="1"/>
    <col min="14262" max="14262" width="11.26953125" style="46" customWidth="1"/>
    <col min="14263" max="14263" width="19" style="46" customWidth="1"/>
    <col min="14264" max="14264" width="2.1796875" style="46" customWidth="1"/>
    <col min="14265" max="14265" width="19" style="46" customWidth="1"/>
    <col min="14266" max="14266" width="37.453125" style="46" customWidth="1"/>
    <col min="14267" max="14356" width="11.453125" style="46" customWidth="1"/>
    <col min="14357" max="14510" width="11.453125" style="46"/>
    <col min="14511" max="14511" width="0" style="46" hidden="1" customWidth="1"/>
    <col min="14512" max="14512" width="9" style="46" customWidth="1"/>
    <col min="14513" max="14513" width="0" style="46" hidden="1" customWidth="1"/>
    <col min="14514" max="14514" width="78" style="46" customWidth="1"/>
    <col min="14515" max="14515" width="14.26953125" style="46" customWidth="1"/>
    <col min="14516" max="14516" width="12.453125" style="46" customWidth="1"/>
    <col min="14517" max="14517" width="19" style="46" customWidth="1"/>
    <col min="14518" max="14518" width="11.26953125" style="46" customWidth="1"/>
    <col min="14519" max="14519" width="19" style="46" customWidth="1"/>
    <col min="14520" max="14520" width="2.1796875" style="46" customWidth="1"/>
    <col min="14521" max="14521" width="19" style="46" customWidth="1"/>
    <col min="14522" max="14522" width="37.453125" style="46" customWidth="1"/>
    <col min="14523" max="14612" width="11.453125" style="46" customWidth="1"/>
    <col min="14613" max="14766" width="11.453125" style="46"/>
    <col min="14767" max="14767" width="0" style="46" hidden="1" customWidth="1"/>
    <col min="14768" max="14768" width="9" style="46" customWidth="1"/>
    <col min="14769" max="14769" width="0" style="46" hidden="1" customWidth="1"/>
    <col min="14770" max="14770" width="78" style="46" customWidth="1"/>
    <col min="14771" max="14771" width="14.26953125" style="46" customWidth="1"/>
    <col min="14772" max="14772" width="12.453125" style="46" customWidth="1"/>
    <col min="14773" max="14773" width="19" style="46" customWidth="1"/>
    <col min="14774" max="14774" width="11.26953125" style="46" customWidth="1"/>
    <col min="14775" max="14775" width="19" style="46" customWidth="1"/>
    <col min="14776" max="14776" width="2.1796875" style="46" customWidth="1"/>
    <col min="14777" max="14777" width="19" style="46" customWidth="1"/>
    <col min="14778" max="14778" width="37.453125" style="46" customWidth="1"/>
    <col min="14779" max="14868" width="11.453125" style="46" customWidth="1"/>
    <col min="14869" max="15022" width="11.453125" style="46"/>
    <col min="15023" max="15023" width="0" style="46" hidden="1" customWidth="1"/>
    <col min="15024" max="15024" width="9" style="46" customWidth="1"/>
    <col min="15025" max="15025" width="0" style="46" hidden="1" customWidth="1"/>
    <col min="15026" max="15026" width="78" style="46" customWidth="1"/>
    <col min="15027" max="15027" width="14.26953125" style="46" customWidth="1"/>
    <col min="15028" max="15028" width="12.453125" style="46" customWidth="1"/>
    <col min="15029" max="15029" width="19" style="46" customWidth="1"/>
    <col min="15030" max="15030" width="11.26953125" style="46" customWidth="1"/>
    <col min="15031" max="15031" width="19" style="46" customWidth="1"/>
    <col min="15032" max="15032" width="2.1796875" style="46" customWidth="1"/>
    <col min="15033" max="15033" width="19" style="46" customWidth="1"/>
    <col min="15034" max="15034" width="37.453125" style="46" customWidth="1"/>
    <col min="15035" max="15124" width="11.453125" style="46" customWidth="1"/>
    <col min="15125" max="15278" width="11.453125" style="46"/>
    <col min="15279" max="15279" width="0" style="46" hidden="1" customWidth="1"/>
    <col min="15280" max="15280" width="9" style="46" customWidth="1"/>
    <col min="15281" max="15281" width="0" style="46" hidden="1" customWidth="1"/>
    <col min="15282" max="15282" width="78" style="46" customWidth="1"/>
    <col min="15283" max="15283" width="14.26953125" style="46" customWidth="1"/>
    <col min="15284" max="15284" width="12.453125" style="46" customWidth="1"/>
    <col min="15285" max="15285" width="19" style="46" customWidth="1"/>
    <col min="15286" max="15286" width="11.26953125" style="46" customWidth="1"/>
    <col min="15287" max="15287" width="19" style="46" customWidth="1"/>
    <col min="15288" max="15288" width="2.1796875" style="46" customWidth="1"/>
    <col min="15289" max="15289" width="19" style="46" customWidth="1"/>
    <col min="15290" max="15290" width="37.453125" style="46" customWidth="1"/>
    <col min="15291" max="15380" width="11.453125" style="46" customWidth="1"/>
    <col min="15381" max="15534" width="11.453125" style="46"/>
    <col min="15535" max="15535" width="0" style="46" hidden="1" customWidth="1"/>
    <col min="15536" max="15536" width="9" style="46" customWidth="1"/>
    <col min="15537" max="15537" width="0" style="46" hidden="1" customWidth="1"/>
    <col min="15538" max="15538" width="78" style="46" customWidth="1"/>
    <col min="15539" max="15539" width="14.26953125" style="46" customWidth="1"/>
    <col min="15540" max="15540" width="12.453125" style="46" customWidth="1"/>
    <col min="15541" max="15541" width="19" style="46" customWidth="1"/>
    <col min="15542" max="15542" width="11.26953125" style="46" customWidth="1"/>
    <col min="15543" max="15543" width="19" style="46" customWidth="1"/>
    <col min="15544" max="15544" width="2.1796875" style="46" customWidth="1"/>
    <col min="15545" max="15545" width="19" style="46" customWidth="1"/>
    <col min="15546" max="15546" width="37.453125" style="46" customWidth="1"/>
    <col min="15547" max="15636" width="11.453125" style="46" customWidth="1"/>
    <col min="15637" max="15790" width="11.453125" style="46"/>
    <col min="15791" max="15791" width="0" style="46" hidden="1" customWidth="1"/>
    <col min="15792" max="15792" width="9" style="46" customWidth="1"/>
    <col min="15793" max="15793" width="0" style="46" hidden="1" customWidth="1"/>
    <col min="15794" max="15794" width="78" style="46" customWidth="1"/>
    <col min="15795" max="15795" width="14.26953125" style="46" customWidth="1"/>
    <col min="15796" max="15796" width="12.453125" style="46" customWidth="1"/>
    <col min="15797" max="15797" width="19" style="46" customWidth="1"/>
    <col min="15798" max="15798" width="11.26953125" style="46" customWidth="1"/>
    <col min="15799" max="15799" width="19" style="46" customWidth="1"/>
    <col min="15800" max="15800" width="2.1796875" style="46" customWidth="1"/>
    <col min="15801" max="15801" width="19" style="46" customWidth="1"/>
    <col min="15802" max="15802" width="37.453125" style="46" customWidth="1"/>
    <col min="15803" max="15892" width="11.453125" style="46" customWidth="1"/>
    <col min="15893" max="16046" width="11.453125" style="46"/>
    <col min="16047" max="16047" width="0" style="46" hidden="1" customWidth="1"/>
    <col min="16048" max="16048" width="9" style="46" customWidth="1"/>
    <col min="16049" max="16049" width="0" style="46" hidden="1" customWidth="1"/>
    <col min="16050" max="16050" width="78" style="46" customWidth="1"/>
    <col min="16051" max="16051" width="14.26953125" style="46" customWidth="1"/>
    <col min="16052" max="16052" width="12.453125" style="46" customWidth="1"/>
    <col min="16053" max="16053" width="19" style="46" customWidth="1"/>
    <col min="16054" max="16054" width="11.26953125" style="46" customWidth="1"/>
    <col min="16055" max="16055" width="19" style="46" customWidth="1"/>
    <col min="16056" max="16056" width="2.1796875" style="46" customWidth="1"/>
    <col min="16057" max="16057" width="19" style="46" customWidth="1"/>
    <col min="16058" max="16058" width="37.453125" style="46" customWidth="1"/>
    <col min="16059" max="16148" width="11.453125" style="46" customWidth="1"/>
    <col min="16149" max="16384" width="11.453125" style="46"/>
  </cols>
  <sheetData>
    <row r="1" spans="1:10" customFormat="1" ht="38.25" customHeight="1" thickBot="1">
      <c r="A1" s="39" t="s">
        <v>26</v>
      </c>
      <c r="B1" s="40"/>
      <c r="C1" s="40"/>
      <c r="D1" s="40"/>
      <c r="E1" s="40"/>
      <c r="F1" s="42"/>
      <c r="G1" s="134">
        <f ca="1">TODAY()</f>
        <v>46187</v>
      </c>
    </row>
    <row r="2" spans="1:10" ht="20.25" customHeight="1" thickBot="1">
      <c r="A2" s="44"/>
      <c r="C2" s="46"/>
      <c r="D2" s="46"/>
      <c r="E2" s="46"/>
      <c r="F2" s="46"/>
    </row>
    <row r="3" spans="1:10" s="59" customFormat="1" ht="33.75" customHeight="1" thickBot="1">
      <c r="A3" s="312" t="s">
        <v>39</v>
      </c>
      <c r="B3" s="313" t="s">
        <v>40</v>
      </c>
      <c r="C3" s="314" t="s">
        <v>42</v>
      </c>
      <c r="D3" s="314" t="s">
        <v>58</v>
      </c>
      <c r="E3" s="315" t="s">
        <v>59</v>
      </c>
      <c r="F3" s="316" t="s">
        <v>37</v>
      </c>
      <c r="G3" s="313" t="s">
        <v>49</v>
      </c>
    </row>
    <row r="4" spans="1:10" ht="28.9" customHeight="1">
      <c r="A4" s="189">
        <v>1</v>
      </c>
      <c r="B4" s="192"/>
      <c r="C4" s="191"/>
      <c r="D4" s="193"/>
      <c r="E4" s="193"/>
      <c r="F4" s="194"/>
      <c r="G4" s="195"/>
      <c r="J4" s="195" t="s">
        <v>51</v>
      </c>
    </row>
    <row r="5" spans="1:10" ht="28.9" customHeight="1">
      <c r="A5" s="60">
        <v>2</v>
      </c>
      <c r="B5" s="333" t="s">
        <v>62</v>
      </c>
      <c r="C5" s="181">
        <v>71159</v>
      </c>
      <c r="D5" s="155"/>
      <c r="E5" s="154">
        <v>71159</v>
      </c>
      <c r="F5" s="156"/>
      <c r="G5" s="159"/>
      <c r="J5" s="159" t="s">
        <v>54</v>
      </c>
    </row>
    <row r="6" spans="1:10" ht="28.9" customHeight="1">
      <c r="A6" s="60">
        <v>3</v>
      </c>
      <c r="B6" s="333" t="s">
        <v>81</v>
      </c>
      <c r="C6" s="214">
        <v>25795</v>
      </c>
      <c r="D6" s="215"/>
      <c r="E6" s="155">
        <v>25795</v>
      </c>
      <c r="F6" s="216"/>
      <c r="G6" s="187"/>
    </row>
    <row r="7" spans="1:10" ht="28.9" customHeight="1">
      <c r="A7" s="60">
        <v>4</v>
      </c>
      <c r="B7" s="334" t="s">
        <v>65</v>
      </c>
      <c r="C7" s="214">
        <v>76780</v>
      </c>
      <c r="D7" s="155"/>
      <c r="E7" s="215">
        <v>76780</v>
      </c>
      <c r="F7" s="217"/>
      <c r="G7" s="159"/>
    </row>
    <row r="8" spans="1:10" ht="28.9" customHeight="1">
      <c r="A8" s="60">
        <v>5</v>
      </c>
      <c r="B8" s="334" t="s">
        <v>82</v>
      </c>
      <c r="C8" s="214">
        <v>330000</v>
      </c>
      <c r="D8" s="215"/>
      <c r="E8" s="155">
        <v>330000</v>
      </c>
      <c r="F8" s="222"/>
      <c r="G8" s="187"/>
    </row>
    <row r="9" spans="1:10" ht="28.9" customHeight="1">
      <c r="A9" s="60">
        <v>6</v>
      </c>
      <c r="B9" s="334" t="s">
        <v>73</v>
      </c>
      <c r="C9" s="214">
        <v>18249</v>
      </c>
      <c r="D9" s="155"/>
      <c r="E9" s="215">
        <v>18249</v>
      </c>
      <c r="F9" s="217"/>
      <c r="G9" s="159"/>
    </row>
    <row r="10" spans="1:10" ht="28.9" customHeight="1">
      <c r="A10" s="60">
        <v>7</v>
      </c>
      <c r="B10" s="334" t="s">
        <v>74</v>
      </c>
      <c r="C10" s="214">
        <v>47058</v>
      </c>
      <c r="D10" s="155"/>
      <c r="E10" s="215">
        <v>47058</v>
      </c>
      <c r="F10" s="217"/>
      <c r="G10" s="159"/>
    </row>
    <row r="11" spans="1:10" ht="28.9" customHeight="1">
      <c r="A11" s="60">
        <v>8</v>
      </c>
      <c r="B11" s="334" t="s">
        <v>130</v>
      </c>
      <c r="C11" s="214">
        <v>38392</v>
      </c>
      <c r="D11" s="155"/>
      <c r="E11" s="215">
        <v>38392</v>
      </c>
      <c r="F11" s="216"/>
      <c r="G11" s="159"/>
    </row>
    <row r="12" spans="1:10" ht="28.9" customHeight="1">
      <c r="A12" s="60">
        <v>9</v>
      </c>
      <c r="B12" s="334" t="s">
        <v>87</v>
      </c>
      <c r="C12" s="214">
        <v>6336</v>
      </c>
      <c r="D12" s="155"/>
      <c r="E12" s="215">
        <v>6336</v>
      </c>
      <c r="F12" s="217"/>
      <c r="G12" s="159"/>
    </row>
    <row r="13" spans="1:10" ht="28.9" customHeight="1">
      <c r="A13" s="60">
        <v>10</v>
      </c>
      <c r="B13" s="334" t="s">
        <v>126</v>
      </c>
      <c r="C13" s="214">
        <v>10631.5</v>
      </c>
      <c r="D13" s="155"/>
      <c r="E13" s="215"/>
      <c r="F13" s="217"/>
      <c r="G13" s="159"/>
    </row>
    <row r="14" spans="1:10" ht="28.9" customHeight="1">
      <c r="A14" s="60">
        <v>11</v>
      </c>
      <c r="B14" s="335" t="s">
        <v>127</v>
      </c>
      <c r="C14" s="182" t="s">
        <v>128</v>
      </c>
      <c r="D14" s="155"/>
      <c r="E14" s="160"/>
      <c r="F14" s="220"/>
      <c r="G14" s="187"/>
    </row>
    <row r="15" spans="1:10" ht="28.9" customHeight="1">
      <c r="A15" s="60">
        <v>12</v>
      </c>
      <c r="B15" s="335" t="s">
        <v>133</v>
      </c>
      <c r="C15" s="182">
        <v>169400</v>
      </c>
      <c r="D15" s="155"/>
      <c r="E15" s="160"/>
      <c r="F15" s="220"/>
      <c r="G15" s="159"/>
    </row>
    <row r="16" spans="1:10" ht="28.9" customHeight="1">
      <c r="A16" s="60">
        <v>13</v>
      </c>
      <c r="B16" s="335" t="s">
        <v>131</v>
      </c>
      <c r="C16" s="182">
        <v>260310.24</v>
      </c>
      <c r="D16" s="155"/>
      <c r="E16" s="160"/>
      <c r="F16" s="220"/>
      <c r="G16" s="187"/>
    </row>
    <row r="17" spans="1:7" ht="28.9" customHeight="1">
      <c r="A17" s="60">
        <v>14</v>
      </c>
      <c r="B17" s="335" t="s">
        <v>132</v>
      </c>
      <c r="C17" s="182">
        <v>230947.20000000001</v>
      </c>
      <c r="D17" s="155"/>
      <c r="E17" s="160"/>
      <c r="F17" s="157"/>
      <c r="G17" s="159"/>
    </row>
    <row r="18" spans="1:7" ht="28.9" customHeight="1">
      <c r="A18" s="60"/>
      <c r="B18" s="61"/>
      <c r="C18" s="182"/>
      <c r="D18" s="155"/>
      <c r="E18" s="160"/>
      <c r="F18" s="157"/>
      <c r="G18" s="187"/>
    </row>
    <row r="19" spans="1:7" ht="28.9" customHeight="1">
      <c r="A19" s="60"/>
      <c r="B19" s="61"/>
      <c r="C19" s="182"/>
      <c r="D19" s="155"/>
      <c r="E19" s="160"/>
      <c r="F19" s="157"/>
      <c r="G19" s="187"/>
    </row>
    <row r="20" spans="1:7" ht="27.75" customHeight="1">
      <c r="A20" s="60"/>
      <c r="B20" s="61"/>
      <c r="C20" s="183"/>
      <c r="D20" s="62"/>
      <c r="E20" s="161"/>
      <c r="F20" s="156"/>
      <c r="G20" s="159"/>
    </row>
    <row r="21" spans="1:7" s="116" customFormat="1" ht="24" customHeight="1">
      <c r="A21" s="60"/>
      <c r="B21" s="113" t="s">
        <v>53</v>
      </c>
      <c r="C21" s="197">
        <f>SUM(C4:C20)</f>
        <v>1285057.94</v>
      </c>
      <c r="D21" s="196">
        <f>SUM(D4:D20)</f>
        <v>0</v>
      </c>
      <c r="E21" s="148">
        <f>SUM(E4:E20)</f>
        <v>613769</v>
      </c>
      <c r="F21" s="158">
        <f>SUM(F4:F20)</f>
        <v>0</v>
      </c>
      <c r="G21" s="198">
        <f>D21+E21</f>
        <v>613769</v>
      </c>
    </row>
    <row r="22" spans="1:7" ht="24" customHeight="1">
      <c r="A22" s="58"/>
      <c r="B22" s="67"/>
      <c r="F22" s="46"/>
      <c r="G22" s="69"/>
    </row>
    <row r="23" spans="1:7">
      <c r="C23" s="71"/>
      <c r="D23" s="71"/>
      <c r="E23" s="71"/>
      <c r="F23" s="46"/>
    </row>
    <row r="24" spans="1:7">
      <c r="C24" s="71"/>
      <c r="D24" s="71"/>
      <c r="E24" s="71"/>
    </row>
    <row r="25" spans="1:7">
      <c r="C25" s="71"/>
      <c r="D25" s="71"/>
      <c r="E25" s="71"/>
    </row>
  </sheetData>
  <phoneticPr fontId="81" type="noConversion"/>
  <pageMargins left="0.7" right="0.7" top="0.75" bottom="0.75" header="0.3" footer="0.3"/>
  <pageSetup paperSize="9" scale="45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EE1831-9B16-42FA-BB33-A90A11E9B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19</vt:i4>
      </vt:variant>
    </vt:vector>
  </HeadingPairs>
  <TitlesOfParts>
    <vt:vector size="38" baseType="lpstr">
      <vt:lpstr>VO1</vt:lpstr>
      <vt:lpstr>VO2</vt:lpstr>
      <vt:lpstr>VO3</vt:lpstr>
      <vt:lpstr>VO4</vt:lpstr>
      <vt:lpstr>VO5</vt:lpstr>
      <vt:lpstr>VO6</vt:lpstr>
      <vt:lpstr>VO7</vt:lpstr>
      <vt:lpstr>VO8</vt:lpstr>
      <vt:lpstr>VO9</vt:lpstr>
      <vt:lpstr>VO10</vt:lpstr>
      <vt:lpstr>VO11</vt:lpstr>
      <vt:lpstr>VO12</vt:lpstr>
      <vt:lpstr>VO13</vt:lpstr>
      <vt:lpstr>VO14</vt:lpstr>
      <vt:lpstr>VO15</vt:lpstr>
      <vt:lpstr>VO16</vt:lpstr>
      <vt:lpstr>VOXX</vt:lpstr>
      <vt:lpstr>Register</vt:lpstr>
      <vt:lpstr>Internal VO Register</vt:lpstr>
      <vt:lpstr>'Internal VO Register'!Print_Area</vt:lpstr>
      <vt:lpstr>Register!Print_Area</vt:lpstr>
      <vt:lpstr>'VO1'!Print_Area</vt:lpstr>
      <vt:lpstr>'VO10'!Print_Area</vt:lpstr>
      <vt:lpstr>'VO11'!Print_Area</vt:lpstr>
      <vt:lpstr>'VO12'!Print_Area</vt:lpstr>
      <vt:lpstr>'VO13'!Print_Area</vt:lpstr>
      <vt:lpstr>'VO14'!Print_Area</vt:lpstr>
      <vt:lpstr>'VO15'!Print_Area</vt:lpstr>
      <vt:lpstr>'VO16'!Print_Area</vt:lpstr>
      <vt:lpstr>'VO2'!Print_Area</vt:lpstr>
      <vt:lpstr>'VO3'!Print_Area</vt:lpstr>
      <vt:lpstr>'VO4'!Print_Area</vt:lpstr>
      <vt:lpstr>'VO5'!Print_Area</vt:lpstr>
      <vt:lpstr>'VO6'!Print_Area</vt:lpstr>
      <vt:lpstr>'VO7'!Print_Area</vt:lpstr>
      <vt:lpstr>'VO8'!Print_Area</vt:lpstr>
      <vt:lpstr>'VO9'!Print_Area</vt:lpstr>
      <vt:lpstr>VOXX!Print_Area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Atkinson</dc:creator>
  <cp:keywords/>
  <dc:description/>
  <cp:lastModifiedBy>Yiyang Guan</cp:lastModifiedBy>
  <cp:revision/>
  <cp:lastPrinted>2026-04-20T01:27:07Z</cp:lastPrinted>
  <dcterms:created xsi:type="dcterms:W3CDTF">2019-01-29T03:33:19Z</dcterms:created>
  <dcterms:modified xsi:type="dcterms:W3CDTF">2026-06-14T15:20:31Z</dcterms:modified>
  <cp:category/>
  <cp:contentStatus/>
</cp:coreProperties>
</file>